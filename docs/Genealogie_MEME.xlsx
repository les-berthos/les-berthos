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activeTab="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<sst xmlns="http://schemas.openxmlformats.org/spreadsheetml/2006/main" count="1546" uniqueCount="781">
  <si>
    <t xml:space="preserve">ID Personne</t>
  </si>
  <si>
    <t xml:space="preserve">Prénom(s)</t>
  </si>
  <si>
    <t xml:space="preserve">Nom</t>
  </si>
  <si>
    <t xml:space="preserve">Nom de naissance (si différent)</t>
  </si>
  <si>
    <t xml:space="preserve">Sexe</t>
  </si>
  <si>
    <t xml:space="preserve">Date de naissance</t>
  </si>
  <si>
    <t xml:space="preserve">Lieu de naissance</t>
  </si>
  <si>
    <t xml:space="preserve">Date de décès</t>
  </si>
  <si>
    <t xml:space="preserve">Père (ID Personne)</t>
  </si>
  <si>
    <t xml:space="preserve">Mère (ID Personne)</t>
  </si>
  <si>
    <t xml:space="preserve">Conjoint(s) (ID Personne)</t>
  </si>
  <si>
    <t xml:space="preserve">Fratrie (ID Personne)</t>
  </si>
  <si>
    <t xml:space="preserve">Génération</t>
  </si>
  <si>
    <t xml:space="preserve">Lien avec PEPE ou MEME</t>
  </si>
  <si>
    <t xml:space="preserve">Statut (confirmé / hypothèse)</t>
  </si>
  <si>
    <t xml:space="preserve">Reste à confirmer / hypothèses → document à chercher</t>
  </si>
  <si>
    <t xml:space="preserve">Photos (liens Postimage, séparés par ;)</t>
  </si>
  <si>
    <t xml:space="preserve">Confirmé par (fait ← document)</t>
  </si>
  <si>
    <t xml:space="preserve">Notes (anciennes pistes, liens)</t>
  </si>
  <si>
    <t xml:space="preserve">P001</t>
  </si>
  <si>
    <t xml:space="preserve">Anna Victorine</t>
  </si>
  <si>
    <t xml:space="preserve">BERTHOLON</t>
  </si>
  <si>
    <t xml:space="preserve">GIRAUD</t>
  </si>
  <si>
    <t xml:space="preserve">F</t>
  </si>
  <si>
    <t xml:space="preserve">16 juin 1913</t>
  </si>
  <si>
    <t xml:space="preserve">Châtillon d'Azergues (Rhône)</t>
  </si>
  <si>
    <t xml:space="preserve">12 mars 1994</t>
  </si>
  <si>
    <t xml:space="preserve">P010</t>
  </si>
  <si>
    <t xml:space="preserve">P011</t>
  </si>
  <si>
    <t xml:space="preserve">P002</t>
  </si>
  <si>
    <t xml:space="preserve">P007;P008</t>
  </si>
  <si>
    <t xml:space="preserve">MEME</t>
  </si>
  <si>
    <t xml:space="preserve">Chercher acte de naissance (Châtillon-d'Azergues, 16/06/1913) → confirmer la date et les parents
Chercher acte de mariage PEPE-MEME (vers 1930-1934) → date et lieu
Chercher acte de décès (12/03/1994) → date et lieu</t>
  </si>
  <si>
    <t xml:space="preserve">https://i.postimg.cc/gkvkD0fy/Photo-MEME.png</t>
  </si>
  <si>
    <t xml:space="preserve">Naissance, identité ← D012, D013 (permis, carte d'identité)
Parents P010 / P011 ← D001 (livret de famille)
Mariage avec P002, enfants P012-P019 ← D001</t>
  </si>
  <si>
    <t xml:space="preserve">Jean-Pierre</t>
  </si>
  <si>
    <t xml:space="preserve">M</t>
  </si>
  <si>
    <t xml:space="preserve">8 novembre 1910</t>
  </si>
  <si>
    <t xml:space="preserve">Le Puy en Velay (Haute-Loire)</t>
  </si>
  <si>
    <t xml:space="preserve">14 juillet 1971</t>
  </si>
  <si>
    <t xml:space="preserve">P020</t>
  </si>
  <si>
    <t xml:space="preserve">P021</t>
  </si>
  <si>
    <t xml:space="preserve">P003;P004;P005;P006</t>
  </si>
  <si>
    <t xml:space="preserve">PEPE</t>
  </si>
  <si>
    <t xml:space="preserve">Chercher mention marginale de légitimation sur l'acte n°269 (copie intégrale, mairie du Puy) → date exacte (1912 ?)
Chercher acte de mariage PEPE-MEME → date et lieu
Chercher acte de décès (14/07/1971) → lieu</t>
  </si>
  <si>
    <t xml:space="preserve">https://i.postimg.cc/TPQYPpXc/Photo-PEPE.png</t>
  </si>
  <si>
    <t xml:space="preserve">Naissance 8/11/1910 Le Puy ← D029 (acte n°269), D023
Mère P021 (reconnaissance 19/11/1910) ← D029
Père P020 (légitimation 17/05/1912) ← D023
Mariage avec P001, enfants ← D001
Décès 14/07/1971 ← D010 (discours aux obsèques)</t>
  </si>
  <si>
    <t xml:space="preserve">Acte de naissance n°269 en main (D029) : né le 8 novembre 1910 à la Maternité de l'Hôtel-Dieu du Puy ; l'acte de mariage D023 le dit légitimé (père non nommé à la naissance). Attention : le « 18 novembre » vu à tort sur D023 est faux.</t>
  </si>
  <si>
    <t xml:space="preserve">P012</t>
  </si>
  <si>
    <t xml:space="preserve">Elise Françoise Claudia</t>
  </si>
  <si>
    <t xml:space="preserve">PERRET</t>
  </si>
  <si>
    <t xml:space="preserve">6 janvier 1935</t>
  </si>
  <si>
    <t xml:space="preserve">Saint-Etienne (Loire)</t>
  </si>
  <si>
    <t xml:space="preserve">P013;P014;P015;P016;P017;P018;P019</t>
  </si>
  <si>
    <t xml:space="preserve">Enfant de PEPE et MEME</t>
  </si>
  <si>
    <t xml:space="preserve">https://i.postimg.cc/5tFdhyNh/femme-inconnue.png</t>
  </si>
  <si>
    <t xml:space="preserve">Naissance, parents P002 / P001 ← D001</t>
  </si>
  <si>
    <t xml:space="preserve">P013</t>
  </si>
  <si>
    <t xml:space="preserve">Simone Cyprienne Victoria</t>
  </si>
  <si>
    <t xml:space="preserve">PAILLEUX</t>
  </si>
  <si>
    <t xml:space="preserve">28 juillet 1936</t>
  </si>
  <si>
    <t xml:space="preserve">La Fouillouse (Loire)</t>
  </si>
  <si>
    <t xml:space="preserve">P012;P014;P015;P016;P017;P018;P019</t>
  </si>
  <si>
    <t xml:space="preserve">P014</t>
  </si>
  <si>
    <t xml:space="preserve">Renée Marie</t>
  </si>
  <si>
    <t xml:space="preserve">CROZIER</t>
  </si>
  <si>
    <t xml:space="preserve">17 novembre 1937</t>
  </si>
  <si>
    <t xml:space="preserve">P012;P013;P015;P016;P017;P018;P019</t>
  </si>
  <si>
    <t xml:space="preserve">P015</t>
  </si>
  <si>
    <t xml:space="preserve">Lucien Marie</t>
  </si>
  <si>
    <t xml:space="preserve">19 août 1940</t>
  </si>
  <si>
    <t xml:space="preserve">Unias (Loire)</t>
  </si>
  <si>
    <t xml:space="preserve">P012;P013;P014;P016;P017;P018;P019</t>
  </si>
  <si>
    <t xml:space="preserve">https://i.postimg.cc/k5t30GXk/homme-inconnu.png</t>
  </si>
  <si>
    <t xml:space="preserve">P016</t>
  </si>
  <si>
    <t xml:space="preserve">Joseph Marius Elise</t>
  </si>
  <si>
    <t xml:space="preserve">19 mars 1944</t>
  </si>
  <si>
    <t xml:space="preserve">P012;P013;P014;P015;P017;P018;P019</t>
  </si>
  <si>
    <t xml:space="preserve">P017</t>
  </si>
  <si>
    <t xml:space="preserve">Andrée Louise</t>
  </si>
  <si>
    <t xml:space="preserve">AUDOUARD</t>
  </si>
  <si>
    <t xml:space="preserve">10 octobre 1945</t>
  </si>
  <si>
    <t xml:space="preserve">P012;P013;P014;P015;P016;P018;P019</t>
  </si>
  <si>
    <t xml:space="preserve">P018</t>
  </si>
  <si>
    <t xml:space="preserve">Marc Antoine Abel</t>
  </si>
  <si>
    <t xml:space="preserve">26 avril 1947</t>
  </si>
  <si>
    <t xml:space="preserve">P012;P013;P014;P015;P016;P017;P019</t>
  </si>
  <si>
    <t xml:space="preserve">P019</t>
  </si>
  <si>
    <t xml:space="preserve">Gérard Henri Simone</t>
  </si>
  <si>
    <t xml:space="preserve">13 août 1950</t>
  </si>
  <si>
    <t xml:space="preserve">P012;P013;P014;P015;P016;P017;P018</t>
  </si>
  <si>
    <t xml:space="preserve">P057</t>
  </si>
  <si>
    <t xml:space="preserve">Laurent</t>
  </si>
  <si>
    <t xml:space="preserve">30 octobre 1886 ?</t>
  </si>
  <si>
    <t xml:space="preserve">P058</t>
  </si>
  <si>
    <t xml:space="preserve">Chercher acte de décès (30/10/1886 ?) → confirmer la date
Chercher acte de mariage avec P058 → date, lieu
Chercher acte de naissance (Saint-Étienne ?)</t>
  </si>
  <si>
    <t xml:space="preserve">Père de P020 ← D023
Décès 30/10/1886 ? ← D023 (lecture à vérifier)</t>
  </si>
  <si>
    <t xml:space="preserve">Père de Cyprien (D023). Date de décès lue sur l'acte de mariage de 1912 : à vérifier sur l'original.</t>
  </si>
  <si>
    <t xml:space="preserve">Marie Clémentine</t>
  </si>
  <si>
    <t xml:space="preserve">VILLARD</t>
  </si>
  <si>
    <t xml:space="preserve">18 juillet 1893 ?</t>
  </si>
  <si>
    <t xml:space="preserve">Chercher acte de décès (18/07/1893 ?) → confirmer la date
Chercher acte de naissance (nom VILLARD ?)</t>
  </si>
  <si>
    <t xml:space="preserve">Mère de P020 ← D023
Décès 18/07/1893 ? ← D023 (lecture à vérifier)</t>
  </si>
  <si>
    <t xml:space="preserve">Mère de Cyprien (D023). Date de décès lue sur l'acte de mariage de 1912 : à vérifier sur l'original.</t>
  </si>
  <si>
    <t xml:space="preserve">Cyprien</t>
  </si>
  <si>
    <t xml:space="preserve">10 septembre 1882</t>
  </si>
  <si>
    <t xml:space="preserve">1971</t>
  </si>
  <si>
    <t xml:space="preserve">Chercher acte de naissance (Saint-Étienne, 10/09/1882) → confirmer la date et les parents P057 / P058
Chercher acte de décès (1971) → date exacte (tombe D020 dit 1885 pour la naissance : erreur probable)</t>
  </si>
  <si>
    <t xml:space="preserve">Naissance 10/09/1882 Saint-Étienne ← D004, D023 (29 ans en 1912)
Parents P057 / P058 ← D023
Mariage 17/05/1912 avec P021 ← D023
Père de P002 (légitimation) ← D023
Décès 1971 ← D020 (tombe)</t>
  </si>
  <si>
    <t xml:space="preserve">P003</t>
  </si>
  <si>
    <t xml:space="preserve">Pierre Joannes Antoine</t>
  </si>
  <si>
    <t xml:space="preserve">17 juin 1933</t>
  </si>
  <si>
    <t xml:space="preserve">P002;P004;P005;P006</t>
  </si>
  <si>
    <t xml:space="preserve">Chercher acte de naissance (Saint-Étienne, 17/06/1933) → confirmer la date</t>
  </si>
  <si>
    <t xml:space="preserve">https://i.postimg.cc/VNVD72C0/pierre-Bertholon.png</t>
  </si>
  <si>
    <t xml:space="preserve">Naissance, parents P020 / P021 ← D014 (livret militaire)
Frère de P002 ← D017, D028 (photos : « oncle Pierre »)</t>
  </si>
  <si>
    <t xml:space="preserve">P004</t>
  </si>
  <si>
    <t xml:space="preserve">Marie</t>
  </si>
  <si>
    <t xml:space="preserve">CRESPY</t>
  </si>
  <si>
    <t xml:space="preserve">en 1914</t>
  </si>
  <si>
    <t xml:space="preserve">en 1963</t>
  </si>
  <si>
    <t xml:space="preserve">P037</t>
  </si>
  <si>
    <t xml:space="preserve">P002;P003;P005;P006</t>
  </si>
  <si>
    <t xml:space="preserve">Chercher acte de naissance (Saint-Étienne, 1914) → date exacte et parents P020 / P021
HYPOTHÈSE : mariée à P037 (tombe commune) → chercher acte de mariage CRESPY-BERTHOLON (vers 1935-1945)</t>
  </si>
  <si>
    <t xml:space="preserve">Dates 1914-1963 ← D020 (tombe, nom CRESPY)
Sœur de P002 ← D028 (« tante Marie, Nini »), D017</t>
  </si>
  <si>
    <t xml:space="preserve">supposition marié avec Louis Henri CRESPY (cimetière Recharinge)</t>
  </si>
  <si>
    <t xml:space="preserve">P005</t>
  </si>
  <si>
    <t xml:space="preserve">Marius</t>
  </si>
  <si>
    <t xml:space="preserve">16 octobre 1925</t>
  </si>
  <si>
    <t xml:space="preserve">P052</t>
  </si>
  <si>
    <t xml:space="preserve">P002;P003;P004;P006</t>
  </si>
  <si>
    <t xml:space="preserve">Chercher acte de mariage avec Ginette (P052) → date, lieu, nom de naissance</t>
  </si>
  <si>
    <t xml:space="preserve">Naissance, parents P020 / P021 ← D015 (livret militaire)
Identité ← D006, D011</t>
  </si>
  <si>
    <t xml:space="preserve">P006</t>
  </si>
  <si>
    <t xml:space="preserve">Alban Marius Laurens</t>
  </si>
  <si>
    <t xml:space="preserve">3 juillet 1913</t>
  </si>
  <si>
    <t xml:space="preserve">en 1988</t>
  </si>
  <si>
    <t xml:space="preserve">P002;P003;P004;P005</t>
  </si>
  <si>
    <t xml:space="preserve">Chercher acte de naissance (Saint-Étienne, 03/07/1913) → date, parents, prénom « Laurens » ou « Laurent » ?
Chercher acte de décès (1988) → date exacte</t>
  </si>
  <si>
    <t xml:space="preserve">Identité ← D008 (confirmation), D009 (certificat d'études)
Décès 1988 ← D020 (tombe)
Frère de P002 ← D028 (« oncle Alban, prêtre »)</t>
  </si>
  <si>
    <t xml:space="preserve">Louis Henri</t>
  </si>
  <si>
    <t xml:space="preserve">en 1913</t>
  </si>
  <si>
    <t xml:space="preserve">en 1972</t>
  </si>
  <si>
    <t xml:space="preserve">HYPOTHÈSE : mari de P004 → chercher acte de mariage CRESPY-BERTHOLON
Chercher actes de naissance (1913) et de décès (1972)</t>
  </si>
  <si>
    <t xml:space="preserve">Dates 1913-1972 ← D020 (tombe, nom CRESPY)</t>
  </si>
  <si>
    <t xml:space="preserve">supposition mari de Marie BERTHOLON (cimetière de Recharinge)</t>
  </si>
  <si>
    <t xml:space="preserve">Ginette</t>
  </si>
  <si>
    <t xml:space="preserve">Chercher acte de mariage de Marius et Ginette (après 1946) → nom de naissance, dates, lieux
Aucun document ne la cite</t>
  </si>
  <si>
    <t xml:space="preserve">P042</t>
  </si>
  <si>
    <t xml:space="preserve">Gérard</t>
  </si>
  <si>
    <t xml:space="preserve">Chercher acte de naissance (Saint-Étienne, après 1935) → confirmer parents P037 / P004
Aucun document ne le cite</t>
  </si>
  <si>
    <t xml:space="preserve">P050</t>
  </si>
  <si>
    <t xml:space="preserve">Alain</t>
  </si>
  <si>
    <t xml:space="preserve">P051</t>
  </si>
  <si>
    <t xml:space="preserve">Chercher acte de naissance (après 1946) → date et lieu
Aucun document ne le cite</t>
  </si>
  <si>
    <t xml:space="preserve">P060</t>
  </si>
  <si>
    <t xml:space="preserve">Jacques</t>
  </si>
  <si>
    <t xml:space="preserve">BESSIERES</t>
  </si>
  <si>
    <t xml:space="preserve">La Feyde (Yssingeaux)</t>
  </si>
  <si>
    <t xml:space="preserve">17 octobre 1829</t>
  </si>
  <si>
    <t xml:space="preserve">P061</t>
  </si>
  <si>
    <t xml:space="preserve">5</t>
  </si>
  <si>
    <t xml:space="preserve">Chercher acte de décès (La Feyde, 17/10/1829) → confirmer
Chercher acte de mariage avec P061</t>
  </si>
  <si>
    <t xml:space="preserve">Père de P030 ; décédé à La Feyde le 17/10/1829 ← D024</t>
  </si>
  <si>
    <t xml:space="preserve">Marie Anne [nom ?]</t>
  </si>
  <si>
    <t xml:space="preserve">Relire D024 → nom et prénom ; chercher acte de décès</t>
  </si>
  <si>
    <t xml:space="preserve">Mère de P030, cultivatrice à La Feyde ← D024 (nom illisible)</t>
  </si>
  <si>
    <t xml:space="preserve">P062</t>
  </si>
  <si>
    <t xml:space="preserve">Pierre</t>
  </si>
  <si>
    <t xml:space="preserve">LAULAGNIER</t>
  </si>
  <si>
    <t xml:space="preserve">vers 1771</t>
  </si>
  <si>
    <t xml:space="preserve">P063</t>
  </si>
  <si>
    <t xml:space="preserve">Chercher acte de naissance (vers 1771) et de décès → dates, lieux
Relire D024 → confirmer le prénom Pierre</t>
  </si>
  <si>
    <t xml:space="preserve">Père de P029, 60 ans au mariage ← D024 (donc né vers 1771) ; maréchal ? ← D024 (lecture douteuse)</t>
  </si>
  <si>
    <t xml:space="preserve">Marguerite [de Solignac ?]</t>
  </si>
  <si>
    <t xml:space="preserve">Relire D024 → confirmer le nom ; chercher acte de mariage avec P062</t>
  </si>
  <si>
    <t xml:space="preserve">Mère de P029 ← D024 (nom lu « de Solignac ? », douteux)</t>
  </si>
  <si>
    <t xml:space="preserve">P029</t>
  </si>
  <si>
    <t xml:space="preserve">Largier ? (Araules)</t>
  </si>
  <si>
    <t xml:space="preserve">30 avril 1887</t>
  </si>
  <si>
    <t xml:space="preserve">P030</t>
  </si>
  <si>
    <t xml:space="preserve">Chercher acte de naissance (Araules, vers 1800-1810) → date, lieu, parents (relire D024 sur l'original)
Chercher acte de décès (30/04/1887) → confirmer
Relire D024 → année du mariage (1831 ou 1833 ?)</t>
  </si>
  <si>
    <t xml:space="preserve">Mariage avec P030 ← D024
Parents P062 / P063 ← D024 (acte peu lisible)
Père de P035 ← D022
Décès 30/04/1887 ← D005 (partage 1902)
Enfants (7) ← D005</t>
  </si>
  <si>
    <t xml:space="preserve">Elisabeth</t>
  </si>
  <si>
    <t xml:space="preserve">9 juillet 1812</t>
  </si>
  <si>
    <t xml:space="preserve">janvier 1890</t>
  </si>
  <si>
    <t xml:space="preserve">Chercher acte de décès (Araules ?, janvier 1890) → date, lieu
Chercher acte de naissance (Yssingeaux, 09/07/1812) → confirmer parents P060 / P061</t>
  </si>
  <si>
    <t xml:space="preserve">Naissance 09/07/1812 La Feyde ← D024
Parents P060 / P061 ← D024
Mariage avec P029 ← D024
Mère de P035 ← D022
Décès janvier 1890 ← D005</t>
  </si>
  <si>
    <t xml:space="preserve">P022</t>
  </si>
  <si>
    <t xml:space="preserve">Jean-Jacques</t>
  </si>
  <si>
    <t xml:space="preserve">P023;P027;P028;P035;P053;P054</t>
  </si>
  <si>
    <t xml:space="preserve">Chercher acte de naissance (Araules ?, 1830-1855) → date, lieu, parents</t>
  </si>
  <si>
    <t xml:space="preserve">Enfant de P029 / P030 ← D005 (partage 1902)
Frère / sœur de P035, P023, P027, P028, P053, P054 ← D005</t>
  </si>
  <si>
    <t xml:space="preserve">Maréchal à Perret commune de ARAULES</t>
  </si>
  <si>
    <t xml:space="preserve">P023</t>
  </si>
  <si>
    <t xml:space="preserve">P022;P027;P028;P035;P053;P054</t>
  </si>
  <si>
    <t xml:space="preserve">Enfant de P029 / P030 ← D005 (partage 1902)
Fratrie (7 enfants) ← D005</t>
  </si>
  <si>
    <t xml:space="preserve">Institutrice commune d'ANNONAY</t>
  </si>
  <si>
    <t xml:space="preserve">P027</t>
  </si>
  <si>
    <t xml:space="preserve">Philomène</t>
  </si>
  <si>
    <t xml:space="preserve">BESSON</t>
  </si>
  <si>
    <t xml:space="preserve">P034</t>
  </si>
  <si>
    <t xml:space="preserve">P022;P023;P028;P035;P053;P054</t>
  </si>
  <si>
    <t xml:space="preserve">Chercher acte de naissance (Araules ?, 1830-1855) → date, lieu
Chercher acte de mariage avec P034 (Yssingeaux ?, avant 1902) → date, lieu</t>
  </si>
  <si>
    <t xml:space="preserve">Enfant de P029 / P030 ← D005
Mariée à P034 (Pierre BESSON, meunier-scieur) ← D005</t>
  </si>
  <si>
    <t xml:space="preserve">épouse Pierre BESSON Pont de l'enceinte commune d'YSSINGEAUX meunier scieur</t>
  </si>
  <si>
    <t xml:space="preserve">P028</t>
  </si>
  <si>
    <t xml:space="preserve">Françoise</t>
  </si>
  <si>
    <t xml:space="preserve">novembre 1899</t>
  </si>
  <si>
    <t xml:space="preserve">P022;P023;P027;P035;P053;P054</t>
  </si>
  <si>
    <t xml:space="preserve">Chercher acte de décès (Saint-Julien-Chapteuil, novembre 1899 ou 1891 ?) → année exacte
Chercher acte de naissance (Araules ?, 1830-1855)</t>
  </si>
  <si>
    <t xml:space="preserve">Enfant de P029 / P030 ← D005 (partage 1902)</t>
  </si>
  <si>
    <t xml:space="preserve">décédé à St JULIEN CHAPTEUIL en 1899</t>
  </si>
  <si>
    <t xml:space="preserve">Chercher acte de mariage BESSON-LAULAGNIER (Yssingeaux ?, avant 1902) → prénom, date, lieu</t>
  </si>
  <si>
    <t xml:space="preserve">Mari de P027 ← D005</t>
  </si>
  <si>
    <t xml:space="preserve">P035</t>
  </si>
  <si>
    <t xml:space="preserve">Jean-Pierre (dit Pierre)</t>
  </si>
  <si>
    <t xml:space="preserve">vers 1851</t>
  </si>
  <si>
    <t xml:space="preserve">en 1930</t>
  </si>
  <si>
    <t xml:space="preserve">P036</t>
  </si>
  <si>
    <t xml:space="preserve">P022;P023;P027;P028;P053;P054</t>
  </si>
  <si>
    <t xml:space="preserve">Chercher acte de naissance (Araules ?, 1851-1852) → date, lieu, confirmer parents P029 / P030
Chercher acte de décès (1930) → date exacte
Chercher contrat de mariage (Me Courbon, Yssingeaux, 04/08/1881) → confirmer les dots</t>
  </si>
  <si>
    <t xml:space="preserve">Naissance vers 1851 ← D022 (29 ans en 1881), D021 (38 ans en 1892), D020 (tombe 1851)
Parents P029 / P030 ← D022
Mariage 17/08/1881 avec P036 ← D022
Père de P021 ← D018 ; de P024 ← D021
Frères et sœurs ← D005
Décès 1930 ← D020 (tombe)</t>
  </si>
  <si>
    <t xml:space="preserve">second fils, maréchal à Combevieille</t>
  </si>
  <si>
    <t xml:space="preserve">Marie Rosalie (dite Rose, Rosette)</t>
  </si>
  <si>
    <t xml:space="preserve">PEYRACHON</t>
  </si>
  <si>
    <t xml:space="preserve">9 avril 1854 ou 1855</t>
  </si>
  <si>
    <t xml:space="preserve">Saint-Jeures (Haute-Loire)</t>
  </si>
  <si>
    <t xml:space="preserve">en 1927</t>
  </si>
  <si>
    <t xml:space="preserve">P055</t>
  </si>
  <si>
    <t xml:space="preserve">P056</t>
  </si>
  <si>
    <t xml:space="preserve">P038;P039</t>
  </si>
  <si>
    <t xml:space="preserve">Chercher acte de naissance (Saint-Jeures, 09/04/1854 ou 1855 ? ; tombe et recensement : 1853) → trancher l'année
Chercher acte de décès (1927) → date exacte</t>
  </si>
  <si>
    <t xml:space="preserve">Naissance 09/04/1854 Saint-Jeures ← D022 (26 ans en 1881) ; année 1853 ← D020, D030
Parents P055 / P056 ← D022
Mariage 17/08/1881 avec P035 ← D022
Mère de P021 ← D018 ; de P024 ← D021
Décès 1927 ← D020 (tombe)</t>
  </si>
  <si>
    <t xml:space="preserve">https://gw.geneanet.org/andrerussier?lang=fr&amp;n=laulagnier&amp;p=marie+marguerite | Acte de mariage D022 : « Marie Rosalie », née à Saint-Jeures le 9 avril 1854, 26 ans en 1881 ; tombe 1853 (D020), recensement 1921 : 1853 (D030) ; actes : 1854 ou 1855 ; appelée Rose ou Rosette.</t>
  </si>
  <si>
    <t xml:space="preserve">P053</t>
  </si>
  <si>
    <t xml:space="preserve">Marguerite</t>
  </si>
  <si>
    <t xml:space="preserve">P022;P023;P027;P028;P035;P054</t>
  </si>
  <si>
    <t xml:space="preserve">Chercher acte de naissance (Araules ?, 1830-1855) → date, lieu
Garder distincte de P024</t>
  </si>
  <si>
    <t xml:space="preserve">Enfant de P029 / P030 ← D005 (partage 1902)
Célibataire à Yssingeaux ← D005</t>
  </si>
  <si>
    <t xml:space="preserve">Célibataire à Yssingeaux</t>
  </si>
  <si>
    <t xml:space="preserve">P054</t>
  </si>
  <si>
    <t xml:space="preserve">P022;P023;P027;P028;P035;P053</t>
  </si>
  <si>
    <t xml:space="preserve">Chercher acte de naissance (Araules ?, 1830-1855) → date, lieu ; mariage éventuel (Saint-Julien-Chapteuil ?)
Garder distincte de P025</t>
  </si>
  <si>
    <t xml:space="preserve">Enfant de P029 / P030 ← D005 (partage 1902)
Institutrice à Chapteuil, légataire de P028 ← D005</t>
  </si>
  <si>
    <t xml:space="preserve">institutrice à chapteuil commune de St JULIEN CHAPTEUIL ». Légataire de Françoise</t>
  </si>
  <si>
    <t xml:space="preserve">Elise Jeanne Marie</t>
  </si>
  <si>
    <t xml:space="preserve">24 avril 1889</t>
  </si>
  <si>
    <t xml:space="preserve">Saint Jeures (Haute-Loire)</t>
  </si>
  <si>
    <t xml:space="preserve">P059;P024;P025</t>
  </si>
  <si>
    <t xml:space="preserve">Chercher acte de décès (1971) → date et lieu exacts</t>
  </si>
  <si>
    <t xml:space="preserve">Naissance 24/04/1889 Saint-Jeures ← D018 (acte), D023
Parents P035 / P036 ← D018
Mariage 17/05/1912 avec P020 ← D023
Mère de P002 ← D029
Sœur de P024 ← D021 (mêmes parents)
Décès 1971 ← D020 (tombe)</t>
  </si>
  <si>
    <t xml:space="preserve">https://gw.geneanet.org/andrerussier?lang=fr&amp;n=laulagnier&amp;oc=0&amp;p=elize+jeanne+marie&amp;type=tree</t>
  </si>
  <si>
    <t xml:space="preserve">P024</t>
  </si>
  <si>
    <t xml:space="preserve">Marie Marguerite</t>
  </si>
  <si>
    <t xml:space="preserve">18 septembre 1892</t>
  </si>
  <si>
    <t xml:space="preserve">18 mai 1920</t>
  </si>
  <si>
    <t xml:space="preserve">P059;P021;P025</t>
  </si>
  <si>
    <t xml:space="preserve">Transcrire l'acte de décès D019 → lieu, parents cités (« Pierre » et « Jean-Pierre » = même homme P035 ?)
Garder distincte de P053 (Marguerite, sœur de Pierre, adulte en 1902)</t>
  </si>
  <si>
    <t xml:space="preserve">Naissance 18/09/1892 ← D021 (acte)
Parents P035 / P036 ← D021
Décès 18/05/1920 ← D019 (acte, à transcrire), D020 (tombe)
Sœur de P021 ← D021 (mêmes parents)</t>
  </si>
  <si>
    <t xml:space="preserve">Note d'origine : « sur son act de décé, elle aurait Pierre(P035?) et Jean-Pierre(P026?) en tant que père. ». Le père est cité « Pierre » et « Jean-Pierre » : c'est le même homme (P035). Ne pas confondre avec Marguerite, sœur de Pierre (P053).</t>
  </si>
  <si>
    <t xml:space="preserve">P025</t>
  </si>
  <si>
    <t xml:space="preserve">en 1882</t>
  </si>
  <si>
    <t xml:space="preserve">P059;P021;P024</t>
  </si>
  <si>
    <t xml:space="preserve">Chercher acte de naissance (Araules ou Saint-Jeures, 1882) → date, lieu, parents P035 / P036 (HYPOTHÈSE : fille de Pierre et Rose, d'après la tombe)
Chercher acte de décès (1913)
Garder distincte de P054 (Marie, sœur de Pierre)</t>
  </si>
  <si>
    <t xml:space="preserve">Dates 1882-1913 ← D020 (tombe)</t>
  </si>
  <si>
    <t xml:space="preserve">Marie de la tombe de Recharinges (1882-1913), fille de Pierre et Rose. Ne pas confondre avec Marie, sœur de Pierre (P054). Note d'origine reportée sur P054.</t>
  </si>
  <si>
    <t xml:space="preserve">P059</t>
  </si>
  <si>
    <t xml:space="preserve">Maria</t>
  </si>
  <si>
    <t xml:space="preserve">en 1894</t>
  </si>
  <si>
    <t xml:space="preserve">Araules (Haute-Loire)</t>
  </si>
  <si>
    <t xml:space="preserve">P021;P024;P025</t>
  </si>
  <si>
    <t xml:space="preserve">2</t>
  </si>
  <si>
    <t xml:space="preserve">HYPOTHÈSE : fille de Pierre et Rose, sœur d'Élise (« tante Maria »)
Chercher acte de naissance (Araules, 1894) → confirmer date et parents P035 / P036
Vérifier le prénom dans D001 ou D028</t>
  </si>
  <si>
    <t xml:space="preserve">Naissance en 1894 à Araules ← D030 (recensement 1921)
Lien avec Élise (« tante Maria, sœur de notre grand-mère ») ← D028 : HYPOTHÈSE, voir colonne P</t>
  </si>
  <si>
    <t xml:space="preserve">Jean Pierre</t>
  </si>
  <si>
    <t xml:space="preserve">vers 1806</t>
  </si>
  <si>
    <t xml:space="preserve">Chercher acte de naissance (Saint-Jeures ?, vers 1806) et de décès (après 1881) → dates, lieux
Chercher acte de mariage avec P056 (avant 1852)</t>
  </si>
  <si>
    <t xml:space="preserve">Père de P036 ← D022 (présent au mariage 1881)
Naissance vers 1806 (46 ans en 1852), cultivateur à Pélines ← D026</t>
  </si>
  <si>
    <t xml:space="preserve">Cultivateur, domicilié à Pélines (Saint-Jeures) en 1852 (D026) ; présent au mariage de sa fille en 1881 (D022).</t>
  </si>
  <si>
    <t xml:space="preserve">Rose</t>
  </si>
  <si>
    <t xml:space="preserve">OUDIN ?</t>
  </si>
  <si>
    <t xml:space="preserve">vers 1814</t>
  </si>
  <si>
    <t xml:space="preserve">20 mars 1870 ?</t>
  </si>
  <si>
    <t xml:space="preserve">Chercher acte de décès (Saint-Jeures, 20/03/1870 ?) → date ; acte de mariage avec P055 → confirmer le nom OUDIN</t>
  </si>
  <si>
    <t xml:space="preserve">Mère de P036 ← D022 (décédée avant 1881)
Naissance vers 1814 (38 ans en 1852) ← D026
Nom de naissance OUDIN ? ← D022, D026 (lecture douteuse)</t>
  </si>
  <si>
    <t xml:space="preserve">Décédée à Pélines (Saint-Jeures) d'après l'acte de mariage de 1881 (D022) ; nom OUDIN lu sur D026, à vérifier.</t>
  </si>
  <si>
    <t xml:space="preserve">P038</t>
  </si>
  <si>
    <t xml:space="preserve">Rosalie</t>
  </si>
  <si>
    <t xml:space="preserve">P039;P036</t>
  </si>
  <si>
    <t xml:space="preserve">HYPOTHÈSE : sœur de P036 (photo « fratrie Élise »), peut-être la Rosalie née le 27/09/1852 (D026) → chercher acte de décès ou de naissance (Saint-Jeures) pour trancher
Parents P055 / P056 à confirmer</t>
  </si>
  <si>
    <t xml:space="preserve">photo fraterie Elise</t>
  </si>
  <si>
    <t xml:space="preserve">P039</t>
  </si>
  <si>
    <t xml:space="preserve">P038;P036</t>
  </si>
  <si>
    <t xml:space="preserve">HYPOTHÈSE : sœur de P036 → chercher acte de naissance (Saint-Jeures, 1840-1865) → confirmer le lien et les parents P055 / P056
Aucun document ne la cite</t>
  </si>
  <si>
    <t xml:space="preserve">François</t>
  </si>
  <si>
    <t xml:space="preserve">Chercher actes de naissance et de décès GIRAUD → dates et lieux (relire D001)</t>
  </si>
  <si>
    <t xml:space="preserve">Identité, mariage avec P011, enfants ← D001</t>
  </si>
  <si>
    <t xml:space="preserve">Joséphine Claudia</t>
  </si>
  <si>
    <t xml:space="preserve">SOLY</t>
  </si>
  <si>
    <t xml:space="preserve">Chercher actes de naissance et de décès SOLY → dates et lieux (relire D001)</t>
  </si>
  <si>
    <t xml:space="preserve">Identité, mariage avec P010, enfants ← D001</t>
  </si>
  <si>
    <t xml:space="preserve">P007</t>
  </si>
  <si>
    <t xml:space="preserve">Victoria</t>
  </si>
  <si>
    <t xml:space="preserve">JACQUEMETTON</t>
  </si>
  <si>
    <t xml:space="preserve">P001;P008</t>
  </si>
  <si>
    <t xml:space="preserve">Chercher acte de naissance GIRAUD (Châtillon-d'Azergues ?, vers 1900-1915) → date, lieu, parents P010 / P011
Aucun document ne la cite : données de la famille</t>
  </si>
  <si>
    <t xml:space="preserve">P008</t>
  </si>
  <si>
    <t xml:space="preserve">Gaby</t>
  </si>
  <si>
    <t xml:space="preserve">BERNARD</t>
  </si>
  <si>
    <t xml:space="preserve">P001;P007</t>
  </si>
  <si>
    <t xml:space="preserve">P040</t>
  </si>
  <si>
    <t xml:space="preserve">Joseph</t>
  </si>
  <si>
    <t xml:space="preserve">homonyme probable</t>
  </si>
  <si>
    <t xml:space="preserve">Chercher acte de mariage Joseph LAULAGNET - Jeanne Marie FAURE (Araules, avant 1833) → lien éventuel avec P029 (frère ou cousin ?)</t>
  </si>
  <si>
    <t xml:space="preserve">Père de Pierre LAULAGNET né le 27/02/1833 à Araules ← D025</t>
  </si>
  <si>
    <t xml:space="preserve">Parents de Pierre LAULAGNET né le 27/02/1833 à Araules (acte n°17, D025, transcription dans le registre des documents). Homonyme de P035, non rattaché pour l'instant.</t>
  </si>
  <si>
    <t xml:space="preserve">P041</t>
  </si>
  <si>
    <t xml:space="preserve">Jeanne Marie</t>
  </si>
  <si>
    <t xml:space="preserve">FAURE ?</t>
  </si>
  <si>
    <t xml:space="preserve">Chercher acte de mariage (Araules, avant 1833) → confirmer le nom FAURE</t>
  </si>
  <si>
    <t xml:space="preserve">Mère de Pierre LAULAGNET né le 27/02/1833 à Araules ← D025 (nom FAURE ?)</t>
  </si>
  <si>
    <t xml:space="preserve">Épouse de Joseph (P040), mère de Pierre né en 1833 (D025). Nom FAURE lu avec un doute.</t>
  </si>
  <si>
    <t xml:space="preserve">ID Document</t>
  </si>
  <si>
    <t xml:space="preserve">Type de document</t>
  </si>
  <si>
    <t xml:space="preserve">Nom du doc</t>
  </si>
  <si>
    <t xml:space="preserve">Date du document</t>
  </si>
  <si>
    <t xml:space="preserve">Personnes mentionnées (ID)</t>
  </si>
  <si>
    <t xml:space="preserve">Liens</t>
  </si>
  <si>
    <t xml:space="preserve">Rangement physique</t>
  </si>
  <si>
    <t xml:space="preserve">Au dos/Transcription</t>
  </si>
  <si>
    <t xml:space="preserve">Note</t>
  </si>
  <si>
    <t xml:space="preserve">Cote Archives (ex. 6 E 7/17 vue 19)</t>
  </si>
  <si>
    <t xml:space="preserve">D001</t>
  </si>
  <si>
    <t xml:space="preserve">livret famille</t>
  </si>
  <si>
    <t xml:space="preserve">Livret de famille PEPE-MEME</t>
  </si>
  <si>
    <t xml:space="preserve">6 avril 1934</t>
  </si>
  <si>
    <t xml:space="preserve">P001;P002;P012;P013;P014;P015;P016;P017;P018;P019;P010;P011;P020;P021</t>
  </si>
  <si>
    <t xml:space="preserve">https://drive.proton.me/urls/33YEJ7WG18#VB4EHFSB4IQM</t>
  </si>
  <si>
    <t xml:space="preserve">Marc, Tati (Photocopie)</t>
  </si>
  <si>
    <t xml:space="preserve">D002</t>
  </si>
  <si>
    <t xml:space="preserve">carte identité</t>
  </si>
  <si>
    <t xml:space="preserve">carte d'identité Elise LAULAGNIER-BERTHOLON</t>
  </si>
  <si>
    <t xml:space="preserve">25 janvier 1940</t>
  </si>
  <si>
    <t xml:space="preserve">https://drive.proton.me/urls/J16PCHQ944#apeAQw00a5D4</t>
  </si>
  <si>
    <t xml:space="preserve">Simone</t>
  </si>
  <si>
    <t xml:space="preserve">D003</t>
  </si>
  <si>
    <t xml:space="preserve">livret militaire</t>
  </si>
  <si>
    <t xml:space="preserve">livret individuel de guerre Jean BERTHOLON</t>
  </si>
  <si>
    <t xml:space="preserve">4 septembre 1931</t>
  </si>
  <si>
    <t xml:space="preserve">P002;P020;P021</t>
  </si>
  <si>
    <t xml:space="preserve">https://drive.proton.me/urls/59B6AJ1WF8#WVM4UhKO5wwK</t>
  </si>
  <si>
    <t xml:space="preserve">D004</t>
  </si>
  <si>
    <t xml:space="preserve">certificat bonne conduite Cyprien BERTHOLON</t>
  </si>
  <si>
    <t xml:space="preserve">17 septembre 1906</t>
  </si>
  <si>
    <t xml:space="preserve">https://drive.proton.me/urls/VK2M1FP4AM#tttOniW6msj7</t>
  </si>
  <si>
    <t xml:space="preserve">D005</t>
  </si>
  <si>
    <t xml:space="preserve">notaire</t>
  </si>
  <si>
    <t xml:space="preserve">Notaire Heritage P LAULAGNIER </t>
  </si>
  <si>
    <t xml:space="preserve">2 avril 1902</t>
  </si>
  <si>
    <t xml:space="preserve">P022;P023;P053;P054;P035;P027;P029;P030;P028;P034</t>
  </si>
  <si>
    <t xml:space="preserve">https://drive.proton.me/urls/QK47AVTBE0#sYRXRYgNouVv</t>
  </si>
  <si>
    <t xml:space="preserve">D006</t>
  </si>
  <si>
    <t xml:space="preserve">courrier</t>
  </si>
  <si>
    <t xml:space="preserve">capture par Allemand de Marius BERTHOLON</t>
  </si>
  <si>
    <t xml:space="preserve">23 avril 1946</t>
  </si>
  <si>
    <t xml:space="preserve">https://drive.proton.me/urls/VDDSEQ3WJ4#vVJX5rDAvOyA</t>
  </si>
  <si>
    <t xml:space="preserve">D007</t>
  </si>
  <si>
    <t xml:space="preserve">autre</t>
  </si>
  <si>
    <t xml:space="preserve">permis travail des enfants Cyprien BERTHOLON</t>
  </si>
  <si>
    <t xml:space="preserve">24 août 1896</t>
  </si>
  <si>
    <t xml:space="preserve">https://drive.proton.me/urls/G20HVRVKJW#7dTghvDIVagm</t>
  </si>
  <si>
    <t xml:space="preserve">D008</t>
  </si>
  <si>
    <t xml:space="preserve">acte religieux</t>
  </si>
  <si>
    <t xml:space="preserve">confirmation Alban BERTHOLON</t>
  </si>
  <si>
    <t xml:space="preserve">5 mai 1924</t>
  </si>
  <si>
    <t xml:space="preserve">https://drive.proton.me/urls/2K3Q7AC8BR#IMDj5ibQphlT</t>
  </si>
  <si>
    <t xml:space="preserve">D009</t>
  </si>
  <si>
    <t xml:space="preserve">certificat etude primaire Alban Marius Laurens BERTHOLON</t>
  </si>
  <si>
    <t xml:space="preserve">10 juillet 1925</t>
  </si>
  <si>
    <t xml:space="preserve">https://drive.proton.me/urls/84ZXTY9RKM#kyX0Ln9BiuMD</t>
  </si>
  <si>
    <t xml:space="preserve">D010</t>
  </si>
  <si>
    <t xml:space="preserve">discours aux obséques du PEPE</t>
  </si>
  <si>
    <t xml:space="preserve">https://drive.proton.me/urls/YHM2Q44D64#nDNdqqcX1dKE</t>
  </si>
  <si>
    <t xml:space="preserve">D011</t>
  </si>
  <si>
    <t xml:space="preserve">autorisation travail à Marius BERTHOLON</t>
  </si>
  <si>
    <t xml:space="preserve">23 novembre 1942</t>
  </si>
  <si>
    <t xml:space="preserve">https://drive.proton.me/urls/19HF811QK4#rGIEaSDUA0xQ</t>
  </si>
  <si>
    <t xml:space="preserve">D012</t>
  </si>
  <si>
    <t xml:space="preserve">permis de conduire MEME</t>
  </si>
  <si>
    <t xml:space="preserve">13 octobre 1939</t>
  </si>
  <si>
    <t xml:space="preserve">https://drive.proton.me/urls/B77MT581KR#FrKKriLs4aP6</t>
  </si>
  <si>
    <t xml:space="preserve">D013</t>
  </si>
  <si>
    <t xml:space="preserve">carte d'identité MEME</t>
  </si>
  <si>
    <t xml:space="preserve">29 août 1974</t>
  </si>
  <si>
    <t xml:space="preserve">https://drive.proton.me/urls/FM767X08T4#TvsLDZGbmpfO</t>
  </si>
  <si>
    <t xml:space="preserve">D014</t>
  </si>
  <si>
    <t xml:space="preserve">livret individuel de guerre Pierre BERTHOLON</t>
  </si>
  <si>
    <t xml:space="preserve">20 juillet 1952</t>
  </si>
  <si>
    <t xml:space="preserve">P003;P020;P021</t>
  </si>
  <si>
    <t xml:space="preserve">https://drive.proton.me/urls/EQ3XYVFNHC#7gfdMxxfAQU4</t>
  </si>
  <si>
    <t xml:space="preserve">D015</t>
  </si>
  <si>
    <t xml:space="preserve">livret individuel de guerre Marius BERTHOLON</t>
  </si>
  <si>
    <t xml:space="preserve">23 juin 1951</t>
  </si>
  <si>
    <t xml:space="preserve">P005;P020;P021</t>
  </si>
  <si>
    <t xml:space="preserve">https://drive.proton.me/urls/SB4Q66QNRG#hjzB9Dg8tzcE</t>
  </si>
  <si>
    <t xml:space="preserve">D016</t>
  </si>
  <si>
    <t xml:space="preserve">carte electeur Cyprien BERTHOLON</t>
  </si>
  <si>
    <t xml:space="preserve">27 novembre 1910</t>
  </si>
  <si>
    <t xml:space="preserve">https://drive.proton.me/urls/PY5MYVG39R#sxCEYvIrRpIi</t>
  </si>
  <si>
    <t xml:space="preserve">D017</t>
  </si>
  <si>
    <t xml:space="preserve">carte de priorité des méres de famille Elise BERTHOLON</t>
  </si>
  <si>
    <t xml:space="preserve">novembre 1946</t>
  </si>
  <si>
    <t xml:space="preserve">P021;P004;P003</t>
  </si>
  <si>
    <t xml:space="preserve">https://drive.proton.me/urls/EDTWWRM5Q0#1Ie4R1PZID5U</t>
  </si>
  <si>
    <t xml:space="preserve">D018</t>
  </si>
  <si>
    <t xml:space="preserve">acte naissance</t>
  </si>
  <si>
    <t xml:space="preserve">act naissance Elise LAULAGNIER</t>
  </si>
  <si>
    <t xml:space="preserve">avril 1889</t>
  </si>
  <si>
    <t xml:space="preserve">P021;P035;P036</t>
  </si>
  <si>
    <t xml:space="preserve">https://drive.proton.me/urls/FWBRHMG8W4#53VrjWQ9mcMr</t>
  </si>
  <si>
    <t xml:space="preserve">Archive43</t>
  </si>
  <si>
    <t xml:space="preserve">D019</t>
  </si>
  <si>
    <t xml:space="preserve">acte décé</t>
  </si>
  <si>
    <t xml:space="preserve">Marie Marguerite LAULAGNIER act de décé</t>
  </si>
  <si>
    <t xml:space="preserve">P024;P035;P036</t>
  </si>
  <si>
    <t xml:space="preserve">https://drive.proton.me/urls/0B8ZWYNJTW#qBqWIZUdDHVL</t>
  </si>
  <si>
    <t xml:space="preserve">Acte de décès à transcrire (lieu, parents, déclarants). L'ancienne transcription (acte de 1833) est maintenant dans D024.</t>
  </si>
  <si>
    <t xml:space="preserve">D020</t>
  </si>
  <si>
    <t xml:space="preserve">Cimetière Recharinges</t>
  </si>
  <si>
    <t xml:space="preserve">P025;P024;P036;P035;P004;P020;P021;P037;P006</t>
  </si>
  <si>
    <t xml:space="preserve">https://www.geneanet.org/cimetieres/view/12570346/persons/?individu_filter=LAULAGNIER%2BPierre</t>
  </si>
  <si>
    <t xml:space="preserve">Marie LAULAGNIER (1882-1913); Marguerite LAULAGNIER(1892-1920); Rosette PEYRACHON(1853-1927); Pierre LAULAGNIER (1851-1930); Marie CRESPY (1914-1963);Cyprien BERTHOLON (1885-1971); Elise BRTHOLON(1889-1971); Louis Henri CRESPY (1913-1972); Alban BERTHOLON (1913-1988)</t>
  </si>
  <si>
    <t xml:space="preserve">Se baser sur ses dates pour trouver le bon acte de naissance ou décé ATTENTION POUR MARIE CRESPY (P004 ou P025 ⚠ Cyprien : « 1885 » sur la tombe, mais 10/09/1882 dans D004/D023 (29 ans en mai 1912) : année de la tombe probablement mal lue.</t>
  </si>
  <si>
    <t xml:space="preserve">D021</t>
  </si>
  <si>
    <t xml:space="preserve">Marie Marguerite LAULAGNIER act de Naissance</t>
  </si>
  <si>
    <t xml:space="preserve">19 septembre 1892</t>
  </si>
  <si>
    <t xml:space="preserve">https://drive.proton.me/urls/9CQ3NNREN8#0HRSoStGD8DI</t>
  </si>
  <si>
    <t xml:space="preserve">Née le 18/09/1892 à 11 h à Charbonnière ; père Pierre LAULAGNIER, forgeron, 38 ans ; mère Rose PEYRACHON, ménagère, 38 ans.</t>
  </si>
  <si>
    <t xml:space="preserve">D022</t>
  </si>
  <si>
    <t xml:space="preserve">acte mariage</t>
  </si>
  <si>
    <t xml:space="preserve">act mariage JP LAULAGNIER et Marie Rosalie PEYRACHON </t>
  </si>
  <si>
    <t xml:space="preserve">17 août 1881</t>
  </si>
  <si>
    <t xml:space="preserve">P035;P036;P029;P030;P055;P056</t>
  </si>
  <si>
    <t xml:space="preserve">https://drive.proton.me/urls/AC4M4YDJ24#6Y4DAFiu1nc7</t>
  </si>
  <si>
    <t xml:space="preserve">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</si>
  <si>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 xml:space="preserve">D023</t>
  </si>
  <si>
    <t xml:space="preserve">acte mariage Araules Cyprien BERTHOLON-Elise LAULAGNIER</t>
  </si>
  <si>
    <t xml:space="preserve">17 mai 1912</t>
  </si>
  <si>
    <t xml:space="preserve">P020;P021;P002;P035;P036;P057;P058</t>
  </si>
  <si>
    <t xml:space="preserve">https://drive.proton.me/urls/XM1A8CEAV0#Jtrjjxxtp6j6</t>
  </si>
  <si>
    <t xml:space="preserve">Légitimation du PEPE (P002), né au Puy-en-Velay le 8 novembre 1910, inscrit mairie du Puy n°269 ; père non nommé. Cyprien : 29 ans, né à Saint-Étienne, employé à la voirie ; Elise : 23 ans, née à Saint-Jeures le 24/04/1889, domiciliée à Combeveille.</t>
  </si>
  <si>
    <t xml:space="preserve">D024</t>
  </si>
  <si>
    <t xml:space="preserve">act mariage Jacques laulagnier </t>
  </si>
  <si>
    <t xml:space="preserve">années 1831 ou 1833</t>
  </si>
  <si>
    <t xml:space="preserve">P029;P030;P060;P061;P062;P063;P035</t>
  </si>
  <si>
    <t xml:space="preserve">https://drive.proton.me/urls/HPJPNPY8KM#tnSyNRUOFP3N</t>
  </si>
  <si>
    <t xml:space="preserve">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</si>
  <si>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 xml:space="preserve">Jacques, maréchal à Combeveuille ; Élisabeth, de la Feyde (Yssingeaux). Acte peu lisible : relire sur l'original.</t>
  </si>
  <si>
    <t xml:space="preserve">D025</t>
  </si>
  <si>
    <t xml:space="preserve">act naissance Pierre LAULAGNET (Araules, n°17)</t>
  </si>
  <si>
    <t xml:space="preserve">27 février 1833</t>
  </si>
  <si>
    <t xml:space="preserve">P040;P041</t>
  </si>
  <si>
    <t xml:space="preserve">Homonyme : fils de Joseph (P040), non rattaché à P035 (fils de Jacques, voir D022). Hameau de Combeveuille (Araules). </t>
  </si>
  <si>
    <t xml:space="preserve">D026</t>
  </si>
  <si>
    <t xml:space="preserve">act naissance Rosalie PEYRACHON (Saint-Jeures, n°63)</t>
  </si>
  <si>
    <t xml:space="preserve">27 septembre 1852</t>
  </si>
  <si>
    <t xml:space="preserve">P055;P056</t>
  </si>
  <si>
    <t xml:space="preserve">Née à Pélines le 27/09/1852 ; père Jean Pierre PEYRACHON, cultivateur, 46 ans ; mère Rose OUDIN ?, 38 ans. Ce n'est pas Marie Rosalie (P036, née en 1854 ou 1855) : probablement une sœur aînée, à rattacher à P038 si confirmé.</t>
  </si>
  <si>
    <t xml:space="preserve">D027</t>
  </si>
  <si>
    <t xml:space="preserve">act naissance Jean Pierre AULAGNET (Saint-Jeures, n°71)</t>
  </si>
  <si>
    <t xml:space="preserve">6 octobre 1851</t>
  </si>
  <si>
    <t xml:space="preserve">Homonyme écarté : fils de François AULAGNET, meunier à Charbonnières ; ne correspond pas à la filiation de P035 (fils de Jacques, D022). À garder en archive.</t>
  </si>
  <si>
    <t xml:space="preserve">D028</t>
  </si>
  <si>
    <t xml:space="preserve">photo</t>
  </si>
  <si>
    <t xml:space="preserve">album photos famille BERTHOLON (légendes de la maman)</t>
  </si>
  <si>
    <t xml:space="preserve">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</si>
  <si>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</si>
  <si>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 xml:space="preserve">D029</t>
  </si>
  <si>
    <t xml:space="preserve">acte de naissance et reconnaissance PEPE</t>
  </si>
  <si>
    <t xml:space="preserve">19 novembre 1910</t>
  </si>
  <si>
    <t xml:space="preserve">P002;P021;P020;P035</t>
  </si>
  <si>
    <t xml:space="preserve">https://drive.proton.me/urls/QDTJGZHKA8#wBuQh2go7EVo</t>
  </si>
  <si>
    <t xml:space="preserve">Acte de naissance n°269 (Le Puy-en-Velay, déclaré le 9 novembre 1910) : né le 8 novembre 1910, Maternité de l'Hôtel-Dieu ; père non nommé ; reconnaissance par la mère Élise LAULAGNIER le 19 novembre 1910. Légitimé par le mariage de 1912 (D023).</t>
  </si>
  <si>
    <t xml:space="preserve">D030</t>
  </si>
  <si>
    <t xml:space="preserve">recensement</t>
  </si>
  <si>
    <t xml:space="preserve">Recensement 1921 Araules (Combeveille, ménage 10)</t>
  </si>
  <si>
    <t xml:space="preserve">1921</t>
  </si>
  <si>
    <t xml:space="preserve">P035;P036;P059</t>
  </si>
  <si>
    <t xml:space="preserve">Pierre « Aulagnier » ; Rosette PEYRACHON (1853, Saint-Jeures) ; Maria (née en 1894 à Araules). Ajouté par Claude : lien, capture et rangement à compléter.</t>
  </si>
  <si>
    <t xml:space="preserve">Journal des modifications — version 4b du 27 octobre 2026 (à partir de la V3). Les lignes de la V4 sont en bas du journal.</t>
  </si>
  <si>
    <t xml:space="preserve">Colonne R « Confirmé par » : une ligne par fait, au format « fait ← document ». Colonne P « Reste à confirmer / hypothèses » : ce qui manque, avec le type d'acte à chercher. HYPOTHÈSE = non prouvé par un acte.</t>
  </si>
  <si>
    <t xml:space="preserve">Colonne O « Statut » (formule) : R vide = à confirmer ; R rempli et P rempli = partiel ; R rempli et P vide = confirmé. Plus de formule TEXTJOIN : elle ne se recalculait pas dans ton logiciel.</t>
  </si>
  <si>
    <t xml:space="preserve">Règle de contrôle : chaque D0xx cité en colonne R doit citer la personne dans « Personnes mentionnées » du registre des documents. Quand tu ajoutes une preuve, mets-la aux deux endroits.</t>
  </si>
  <si>
    <t xml:space="preserve">Les deux Marguerite (P024 et P053) et les deux Marie (P025 et P054) restent séparées, comme demandé.</t>
  </si>
  <si>
    <t xml:space="preserve">Les modifications de la version 3 sont listées en bas de ce journal (après la dernière ligne de la version 2).</t>
  </si>
  <si>
    <t xml:space="preserve">N°</t>
  </si>
  <si>
    <t xml:space="preserve">Onglet</t>
  </si>
  <si>
    <t xml:space="preserve">Cellule / ID</t>
  </si>
  <si>
    <t xml:space="preserve">Avant</t>
  </si>
  <si>
    <t xml:space="preserve">Après</t>
  </si>
  <si>
    <t xml:space="preserve">Pourquoi</t>
  </si>
  <si>
    <t xml:space="preserve">Certitude</t>
  </si>
  <si>
    <t xml:space="preserve">Personnes</t>
  </si>
  <si>
    <t xml:space="preserve">colonnes B et C</t>
  </si>
  <si>
    <t xml:space="preserve">5 espaces en trop</t>
  </si>
  <si>
    <t xml:space="preserve">supprimés</t>
  </si>
  <si>
    <t xml:space="preserve">Nettoyage</t>
  </si>
  <si>
    <t xml:space="preserve">oui</t>
  </si>
  <si>
    <t xml:space="preserve">P015 · Fratrie (ID Personne)</t>
  </si>
  <si>
    <t xml:space="preserve">P012;P013:P014;P016;P017;P018;P019</t>
  </si>
  <si>
    <t xml:space="preserve">Séparateur corrigé (« ; » partout)</t>
  </si>
  <si>
    <t xml:space="preserve">P016 · Fratrie (ID Personne)</t>
  </si>
  <si>
    <t xml:space="preserve">P012;P013:P014,P015;P017;P018;P019</t>
  </si>
  <si>
    <t xml:space="preserve">P017 · Fratrie (ID Personne)</t>
  </si>
  <si>
    <t xml:space="preserve">P012;P013;P014,P015;P016;P018;P019</t>
  </si>
  <si>
    <t xml:space="preserve">P018 · Fratrie (ID Personne)</t>
  </si>
  <si>
    <t xml:space="preserve">P012;P013;P014;P015;P016;P017x;P019</t>
  </si>
  <si>
    <t xml:space="preserve">P001, P002 · Génération</t>
  </si>
  <si>
    <t xml:space="preserve">texte « 1 »</t>
  </si>
  <si>
    <t xml:space="preserve">nombre 1</t>
  </si>
  <si>
    <t xml:space="preserve">Format homogène</t>
  </si>
  <si>
    <t xml:space="preserve">P026 → P035</t>
  </si>
  <si>
    <t xml:space="preserve">2 lignes : « Jean-Pierre, vers 1851 » et « Pierre, 1851 »</t>
  </si>
  <si>
    <t xml:space="preserve">1 ligne P035</t>
  </si>
  <si>
    <t xml:space="preserve">Acte de mariage 17/08/1881 : Jean Pierre, 29 ans, fils de Jacques et Élisabeth ; l'acte de décès de Marguerite cite le père sous les deux prénoms</t>
  </si>
  <si>
    <t xml:space="preserve">P053 (nouvelle ligne)</t>
  </si>
  <si>
    <t xml:space="preserve">Marguerite LAULAGNIER</t>
  </si>
  <si>
    <t xml:space="preserve">Sœur de Pierre citée au partage de 1902 (D005) ; distincte de sa nièce Marguerite (P024)</t>
  </si>
  <si>
    <t xml:space="preserve">P054 (nouvelle ligne)</t>
  </si>
  <si>
    <t xml:space="preserve">Marie LAULAGNIER</t>
  </si>
  <si>
    <t xml:space="preserve">Sœur de Pierre citée au partage de 1902 (D005) ; distincte de sa nièce Marie (P025)</t>
  </si>
  <si>
    <t xml:space="preserve">P055 (nouvelle ligne)</t>
  </si>
  <si>
    <t xml:space="preserve">Jean Pierre PEYRACHON</t>
  </si>
  <si>
    <t xml:space="preserve">Père de Rose : actes D022 (1881) et D027 (1852)</t>
  </si>
  <si>
    <t xml:space="preserve">P056 (nouvelle ligne)</t>
  </si>
  <si>
    <t xml:space="preserve">Rose PEYRACHON</t>
  </si>
  <si>
    <t xml:space="preserve">Mère de Rose : actes D022 et D027 (nom OUDIN à vérifier)</t>
  </si>
  <si>
    <t xml:space="preserve">à vérifier</t>
  </si>
  <si>
    <t xml:space="preserve">P057 (nouvelle ligne)</t>
  </si>
  <si>
    <t xml:space="preserve">Laurent BERTHOLON</t>
  </si>
  <si>
    <t xml:space="preserve">Père de Cyprien : D023, D024 (date de décès à vérifier)</t>
  </si>
  <si>
    <t xml:space="preserve">P058 (nouvelle ligne)</t>
  </si>
  <si>
    <t xml:space="preserve">Marie Clémentine BERTHOLON</t>
  </si>
  <si>
    <t xml:space="preserve">Mère de Cyprien : D023, D024 (date de décès à vérifier)</t>
  </si>
  <si>
    <t xml:space="preserve">P035 · Prénom(s)</t>
  </si>
  <si>
    <t xml:space="preserve">Prénom à l'état civil : Jean Pierre (acte 1881) ; « Pierre » ailleurs</t>
  </si>
  <si>
    <t xml:space="preserve">P035 · Père (ID Personne)</t>
  </si>
  <si>
    <t xml:space="preserve">Parents d'après l'acte de mariage de 1881 (D022) ; P040/P041 sont les parents d'un autre Pierre, né en 1833</t>
  </si>
  <si>
    <t xml:space="preserve">P035 · Mère (ID Personne)</t>
  </si>
  <si>
    <t xml:space="preserve">Idem</t>
  </si>
  <si>
    <t xml:space="preserve">P035 · Date de naissance</t>
  </si>
  <si>
    <t xml:space="preserve">1851</t>
  </si>
  <si>
    <t xml:space="preserve">Tombe : 1851 ; âge 29 ans en août 1881 ; 36 ans en 1889 et 38 ans en 1892 (âges sous-déclarés)</t>
  </si>
  <si>
    <t xml:space="preserve">P036 · Prénom(s)</t>
  </si>
  <si>
    <t xml:space="preserve">Rose (Rosette)</t>
  </si>
  <si>
    <t xml:space="preserve">Prénom officiel d'après l'acte de mariage de 1881 (D022)</t>
  </si>
  <si>
    <t xml:space="preserve">P036 · Date de naissance</t>
  </si>
  <si>
    <t xml:space="preserve">en 1853</t>
  </si>
  <si>
    <t xml:space="preserve">Acte de mariage : 9 avril 1854 mais âge 26 ans en août 1881 (→ 1855) ; tombe : 1853 ou 1855</t>
  </si>
  <si>
    <t xml:space="preserve">P036 · Lieu de naissance</t>
  </si>
  <si>
    <t xml:space="preserve">Acte de mariage 1881 : née à Saint-Jeures</t>
  </si>
  <si>
    <t xml:space="preserve">P036 · Père (ID Personne)</t>
  </si>
  <si>
    <t xml:space="preserve">Parents d'après l'acte de mariage de 1881</t>
  </si>
  <si>
    <t xml:space="preserve">P036 · Mère (ID Personne)</t>
  </si>
  <si>
    <t xml:space="preserve">P021 · Date de naissance</t>
  </si>
  <si>
    <t xml:space="preserve">22 avril 1889</t>
  </si>
  <si>
    <t xml:space="preserve">Acte de naissance D018 : née le 24 avril à 20 h, déclarée le 25 (le fichier disait 22)</t>
  </si>
  <si>
    <t xml:space="preserve">P020 · Père (ID Personne)</t>
  </si>
  <si>
    <t xml:space="preserve">Parents d'après D023/D024</t>
  </si>
  <si>
    <t xml:space="preserve">P020 · Mère (ID Personne)</t>
  </si>
  <si>
    <t xml:space="preserve">P024 · Date de naissance</t>
  </si>
  <si>
    <t xml:space="preserve">18 septembre1892</t>
  </si>
  <si>
    <t xml:space="preserve">Espace manquant ; acte de naissance n°54</t>
  </si>
  <si>
    <t xml:space="preserve">P024 · Lieu de naissance</t>
  </si>
  <si>
    <t xml:space="preserve">Acte de naissance n°54 (hameau de Charbonnière)</t>
  </si>
  <si>
    <t xml:space="preserve">P025 · Père (ID Personne)</t>
  </si>
  <si>
    <t xml:space="preserve">Née en 1882, un an après le mariage de Pierre et Rose (1881) ; Élisabeth BESSIÈRES aurait eu 70 ans. La Marie du partage de 1902 est une autre personne (P054)</t>
  </si>
  <si>
    <t xml:space="preserve">P025 · Mère (ID Personne)</t>
  </si>
  <si>
    <t xml:space="preserve">P022 · Génération</t>
  </si>
  <si>
    <t xml:space="preserve">3</t>
  </si>
  <si>
    <t xml:space="preserve">Frères et sœurs de Pierre (génération 3), pas de génération 2</t>
  </si>
  <si>
    <t xml:space="preserve">P023 · Génération</t>
  </si>
  <si>
    <t xml:space="preserve">P027 · Génération</t>
  </si>
  <si>
    <t xml:space="preserve">P028 · Génération</t>
  </si>
  <si>
    <t xml:space="preserve">P034 · Génération</t>
  </si>
  <si>
    <t xml:space="preserve">P029 · Génération</t>
  </si>
  <si>
    <t xml:space="preserve">4</t>
  </si>
  <si>
    <t xml:space="preserve">Parents de Pierre (génération 4)</t>
  </si>
  <si>
    <t xml:space="preserve">P030 · Génération</t>
  </si>
  <si>
    <t xml:space="preserve">P034 · Nom</t>
  </si>
  <si>
    <t xml:space="preserve">BESSONS</t>
  </si>
  <si>
    <t xml:space="preserve">Faute de frappe probable (BESSONS) ; le partage dit Pierre BESSON</t>
  </si>
  <si>
    <t xml:space="preserve">P042 · Génération</t>
  </si>
  <si>
    <t xml:space="preserve">0</t>
  </si>
  <si>
    <t xml:space="preserve">Enfant d'un enfant de PEPE (génération 0, comme P012-P019)</t>
  </si>
  <si>
    <t xml:space="preserve">P050 · Génération</t>
  </si>
  <si>
    <t xml:space="preserve">P051 · Génération</t>
  </si>
  <si>
    <t xml:space="preserve">P050 · Lien avec PEPE ou MEME</t>
  </si>
  <si>
    <t xml:space="preserve">Comme P051 et P052</t>
  </si>
  <si>
    <t xml:space="preserve">P052 · Génération</t>
  </si>
  <si>
    <t xml:space="preserve">1</t>
  </si>
  <si>
    <t xml:space="preserve">Épouse de Marius (génération 1, comme P037)</t>
  </si>
  <si>
    <t xml:space="preserve">P005 · Conjoint(s) (ID Personne)</t>
  </si>
  <si>
    <t xml:space="preserve">Déduit : P052 est la mère des enfants de P005 (P050, P051)</t>
  </si>
  <si>
    <t xml:space="preserve">P052 · Conjoint(s) (ID Personne)</t>
  </si>
  <si>
    <t xml:space="preserve">P040 · Lien avec PEPE ou MEME</t>
  </si>
  <si>
    <t xml:space="preserve">Parents de Pierre né en 1833 à Araules : pas dans la lignée de PEPE tant que rien ne les relie à P029</t>
  </si>
  <si>
    <t xml:space="preserve">P041 · Lien avec PEPE ou MEME</t>
  </si>
  <si>
    <t xml:space="preserve">P022 · Fratrie (ID Personne)</t>
  </si>
  <si>
    <t xml:space="preserve">P023;P024;P025;P035;P027;P028</t>
  </si>
  <si>
    <t xml:space="preserve">Fratrie complète : les 7 enfants du partage de 1902 (Jean-Jacques, Élisabeth, Marguerite, Marie, Jean-Pierre, Philomène, Françoise)</t>
  </si>
  <si>
    <t xml:space="preserve">P023 · Fratrie (ID Personne)</t>
  </si>
  <si>
    <t xml:space="preserve">P022;P024;P025;P035;P027;P028</t>
  </si>
  <si>
    <t xml:space="preserve">P027 · Fratrie (ID Personne)</t>
  </si>
  <si>
    <t xml:space="preserve">P022;P023;P024;P025;P035;P028</t>
  </si>
  <si>
    <t xml:space="preserve">P028 · Fratrie (ID Personne)</t>
  </si>
  <si>
    <t xml:space="preserve">P022;P023;P024;P025;P035;P027</t>
  </si>
  <si>
    <t xml:space="preserve">P035 · Fratrie (ID Personne)</t>
  </si>
  <si>
    <t xml:space="preserve">P053 · Fratrie (ID Personne)</t>
  </si>
  <si>
    <t xml:space="preserve">P054 · Fratrie (ID Personne)</t>
  </si>
  <si>
    <t xml:space="preserve">P021 · Fratrie (ID Personne)</t>
  </si>
  <si>
    <t xml:space="preserve">P024;P025</t>
  </si>
  <si>
    <t xml:space="preserve">Les trois filles de Pierre et Rose (tombe + actes)</t>
  </si>
  <si>
    <t xml:space="preserve">P024 · Fratrie (ID Personne)</t>
  </si>
  <si>
    <t xml:space="preserve">P022;P023;P025;P035;P027;P028</t>
  </si>
  <si>
    <t xml:space="preserve">P021;P025</t>
  </si>
  <si>
    <t xml:space="preserve">P025 · Fratrie (ID Personne)</t>
  </si>
  <si>
    <t xml:space="preserve">P022;P023;P024;P035;P027;P028</t>
  </si>
  <si>
    <t xml:space="preserve">P021;P024</t>
  </si>
  <si>
    <t xml:space="preserve">P051 · Fratrie (ID Personne)</t>
  </si>
  <si>
    <t xml:space="preserve">P052 est leur mère, pas un frère ou une sœur</t>
  </si>
  <si>
    <t xml:space="preserve">colonne P</t>
  </si>
  <si>
    <t xml:space="preserve">notes, liens, transcription</t>
  </si>
  <si>
    <t xml:space="preserve">35 lignes « Chercher … → confirmer … »</t>
  </si>
  <si>
    <t xml:space="preserve">Une ligne par manque ; vide = rien à chercher</t>
  </si>
  <si>
    <t xml:space="preserve">colonne S (nouvelle)</t>
  </si>
  <si>
    <t xml:space="preserve">anciennes notes et liens de P</t>
  </si>
  <si>
    <t xml:space="preserve">Rien n'est perdu : le texte d'origine de P est repris dans S</t>
  </si>
  <si>
    <t xml:space="preserve">P040 · ancienne note</t>
  </si>
  <si>
    <t xml:space="preserve">transcription de l'acte de 1833 (copiée dans P)</t>
  </si>
  <si>
    <t xml:space="preserve">déplacée vers D026 (registre des documents)</t>
  </si>
  <si>
    <t xml:space="preserve">Une transcription appartient au registre des documents</t>
  </si>
  <si>
    <t xml:space="preserve">Documents</t>
  </si>
  <si>
    <t xml:space="preserve">D019 · ID</t>
  </si>
  <si>
    <t xml:space="preserve">DO19 (lettre O)</t>
  </si>
  <si>
    <t xml:space="preserve">D019 (zéro)</t>
  </si>
  <si>
    <t xml:space="preserve">Faute de frappe</t>
  </si>
  <si>
    <t xml:space="preserve">D019 · Transcription et Note</t>
  </si>
  <si>
    <t xml:space="preserve">transcription de l'acte de naissance de Pierre LAULAGNET (1833) + « Problème de date sur la naissance de Pierre SI P035 »</t>
  </si>
  <si>
    <t xml:space="preserve">transcription déplacée vers D026 ; note remplacée</t>
  </si>
  <si>
    <t xml:space="preserve">Problème résolu : P035 n'est pas le Pierre de 1833</t>
  </si>
  <si>
    <t xml:space="preserve">D005 · Personnes mentionnées</t>
  </si>
  <si>
    <t xml:space="preserve">P022;P023;P024;P025;P035;P027;P029;P030;P028</t>
  </si>
  <si>
    <t xml:space="preserve">P022;P023;P053;P054;P035;P027;P029;P030;P028</t>
  </si>
  <si>
    <t xml:space="preserve">Le partage de 1902 cite les enfants de Jacques et Élisabeth : Marguerite et Marie y sont les sœurs de Pierre (P053, P054), pas ses filles. P026 devient P035.</t>
  </si>
  <si>
    <t xml:space="preserve">D021 (nouvelle ligne)</t>
  </si>
  <si>
    <t xml:space="preserve">act naissance Marie Marguerite LAULAGNIER (Saint-Jeures, n°54)</t>
  </si>
  <si>
    <t xml:space="preserve">Ajouté d'après les images reçues</t>
  </si>
  <si>
    <t xml:space="preserve">D022 (nouvelle ligne)</t>
  </si>
  <si>
    <t xml:space="preserve">act mariage Jean Pierre LAULAGNIER et Marie Rosalie PEYRACHON (Araules, n°9)</t>
  </si>
  <si>
    <t xml:space="preserve">D023 (nouvelle ligne)</t>
  </si>
  <si>
    <t xml:space="preserve">act mariage Cyprien BERTHOLON et Elise LAULAGNIER (Araules, n°8)</t>
  </si>
  <si>
    <t xml:space="preserve">D024 (nouvelle ligne)</t>
  </si>
  <si>
    <t xml:space="preserve">publication de mariage Cyprien BERTHOLON et Elise LAULAGNIER (Araules, n°11)</t>
  </si>
  <si>
    <t xml:space="preserve">D025 (nouvelle ligne)</t>
  </si>
  <si>
    <t xml:space="preserve">act mariage Jacques LAULAGNIER (LAULAGNES) et Elisabeth BESSIERES (Araules, n°19)</t>
  </si>
  <si>
    <t xml:space="preserve">D026 (nouvelle ligne)</t>
  </si>
  <si>
    <t xml:space="preserve">D027 (nouvelle ligne)</t>
  </si>
  <si>
    <t xml:space="preserve">D028 (nouvelle ligne)</t>
  </si>
  <si>
    <t xml:space="preserve">D029 (nouvelle ligne)</t>
  </si>
  <si>
    <t xml:space="preserve">(n'existait pas)</t>
  </si>
  <si>
    <t xml:space="preserve">Maria LAULAGNIER</t>
  </si>
  <si>
    <t xml:space="preserve">Ajoutée (voir colonne R pour la source)</t>
  </si>
  <si>
    <t xml:space="preserve">voir R</t>
  </si>
  <si>
    <t xml:space="preserve">Jacques BESSIERES</t>
  </si>
  <si>
    <t xml:space="preserve">Pierre LAULAGNIER</t>
  </si>
  <si>
    <t xml:space="preserve">P021 · col L</t>
  </si>
  <si>
    <t xml:space="preserve">Fratrie : ajout de Maria (P059), sœur d'Élise</t>
  </si>
  <si>
    <t xml:space="preserve">hypothèse</t>
  </si>
  <si>
    <t xml:space="preserve">P024 · col L</t>
  </si>
  <si>
    <t xml:space="preserve">P025 · col L</t>
  </si>
  <si>
    <t xml:space="preserve">P030 · col I</t>
  </si>
  <si>
    <t xml:space="preserve">(vide)</t>
  </si>
  <si>
    <t xml:space="preserve">Père d'Élisabeth BESSIERES cité dans l'acte de mariage D024</t>
  </si>
  <si>
    <t xml:space="preserve">P030 · col J</t>
  </si>
  <si>
    <t xml:space="preserve">Mère d'Élisabeth BESSIERES citée dans l'acte de mariage D024 (nom illisible)</t>
  </si>
  <si>
    <t xml:space="preserve">P029 · col I</t>
  </si>
  <si>
    <t xml:space="preserve">Père de Jacques cité dans l'acte de mariage D024 (Pierre, 60 ans)</t>
  </si>
  <si>
    <t xml:space="preserve">P029 · col J</t>
  </si>
  <si>
    <t xml:space="preserve">Mère de Jacques citée dans l'acte de mariage D024 (Marguerite [de Solignac ?])</t>
  </si>
  <si>
    <t xml:space="preserve">peu lisible</t>
  </si>
  <si>
    <t xml:space="preserve">P030 · col F</t>
  </si>
  <si>
    <t xml:space="preserve">9 juillet 1912</t>
  </si>
  <si>
    <t xml:space="preserve">1912 est impossible (mère de Pierre, né vers 1851) ; l'acte D024 donne « neuf juillet mil huit cent douze »</t>
  </si>
  <si>
    <t xml:space="preserve">P030 · col G</t>
  </si>
  <si>
    <t xml:space="preserve">Yssingeaux</t>
  </si>
  <si>
    <t xml:space="preserve">Lieu précisé d'après D024 (« née audit lieu de la Feyde »)</t>
  </si>
  <si>
    <t xml:space="preserve">P029 · col G</t>
  </si>
  <si>
    <t xml:space="preserve">Lieu lu dans D024 (peu lisible)</t>
  </si>
  <si>
    <t xml:space="preserve">D019 · col I</t>
  </si>
  <si>
    <t xml:space="preserve">Acte de décès à transcrire (lieu, parents, déclarants). L'ancienne transcription (acte de 1833) est maintenant dans D026.</t>
  </si>
  <si>
    <t xml:space="preserve">Renvoi corrigé : la transcription est dans D024</t>
  </si>
  <si>
    <t xml:space="preserve">D021 · col I</t>
  </si>
  <si>
    <t xml:space="preserve">Née le 18/09/1892 à 11 h à Charbonnière ; père Pierre LAULAGNIER, forgeron, 38 ans ; mère Rose PEYRACHON, ménagère, 38 ans. Ajouté d'après l'image reçue : lien Proton et rangement à compléter.</t>
  </si>
  <si>
    <t xml:space="preserve">Mention périmée supprimée (le lien Proton est maintenant renseigné)</t>
  </si>
  <si>
    <t xml:space="preserve">D022 · col I</t>
  </si>
  <si>
    <t xml:space="preserve">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</si>
  <si>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 xml:space="preserve">D020 · col I</t>
  </si>
  <si>
    <t xml:space="preserve">Se baser sur ses dates pour trouver le bon acte de naissance ou décé ATTENTION POUR MARIE CRESPY (P004 ou P025</t>
  </si>
  <si>
    <t xml:space="preserve">Écart signalé</t>
  </si>
  <si>
    <t xml:space="preserve">D024 · col E</t>
  </si>
  <si>
    <t xml:space="preserve">P029;P030</t>
  </si>
  <si>
    <t xml:space="preserve">Personnes citées dans l'acte : parents des époux (P060-P063) ; P035 = fils (naissance 1851)</t>
  </si>
  <si>
    <t xml:space="preserve">D028 · col E</t>
  </si>
  <si>
    <t xml:space="preserve">P020;P021;P035;P002;P004;P006;P005;P003</t>
  </si>
  <si>
    <t xml:space="preserve">« tante Maria, sœur de notre grand-mère » = Maria (P059), hypothèse</t>
  </si>
  <si>
    <t xml:space="preserve">D029 · col I</t>
  </si>
  <si>
    <t xml:space="preserve">Contenu de l'acte (n°269 + reconnaissance)</t>
  </si>
  <si>
    <t xml:space="preserve">D029 · col E</t>
  </si>
  <si>
    <t xml:space="preserve">P002;P021;P035;P020</t>
  </si>
  <si>
    <t xml:space="preserve">Élise (P021) = mère reconnaissante ; P035 = père d'Élise</t>
  </si>
  <si>
    <t xml:space="preserve">Recensement 1921 Araules</t>
  </si>
  <si>
    <t xml:space="preserve">Ajouté (source de Maria P059 et de la naissance de Rosette en 1853)</t>
  </si>
  <si>
    <t xml:space="preserve">à compléter</t>
  </si>
  <si>
    <t xml:space="preserve">D005 · col E</t>
  </si>
  <si>
    <t xml:space="preserve">Pierre BESSON (P034), mari de Philomène, est cité dans le partage</t>
  </si>
  <si>
    <t xml:space="preserve">P038 · col I</t>
  </si>
  <si>
    <t xml:space="preserve">Parents rattachés pour que la fratrie de P036 soit cohérente (HYPOTHÈSE, voir colonne P)</t>
  </si>
  <si>
    <t xml:space="preserve">P038 · col J</t>
  </si>
  <si>
    <t xml:space="preserve">P039 · col I</t>
  </si>
  <si>
    <t xml:space="preserve">P039 · col J</t>
  </si>
  <si>
    <t xml:space="preserve">P029 · col P</t>
  </si>
  <si>
    <t xml:space="preserve">Chercher acte de naissance de Jacques LAULAGNIER (Araules ?, vers 1800-1810) et acte de décès (30 avril 1887) → date, lieu, parents ; relire l'acte de mariage D025 (année)</t>
  </si>
  <si>
    <t xml:space="preserve">Chercher acte de naissance de Jacques LAULAGNIER (Araules ?, vers 1800-1810) et acte de décès (30 avril 1887) → date, lieu, parents ; relire l'acte de mariage D024 (année)</t>
  </si>
  <si>
    <t xml:space="preserve">Numéro de document corrigé après renumérotation</t>
  </si>
  <si>
    <t xml:space="preserve">P030 · col P</t>
  </si>
  <si>
    <t xml:space="preserve">Chercher acte de naissance d'Élisabeth BESSIÈRES (Yssingeaux ?, vers 1812) et acte de décès (janvier 1890) → date, lieu, parents ; relire l'acte de mariage D025</t>
  </si>
  <si>
    <t xml:space="preserve">Chercher acte de naissance d'Élisabeth BESSIÈRES (Yssingeaux ?, vers 1812) et acte de décès (janvier 1890) → date, lieu, parents ; relire l'acte de mariage D024</t>
  </si>
  <si>
    <t xml:space="preserve">P040 · col S</t>
  </si>
  <si>
    <t xml:space="preserve">Parents de Pierre LAULAGNET né le 27/02/1833 à Araules (acte n°17, D026, transcription dans le registre des documents). Homonyme de P035, non rattaché pour l'instant.</t>
  </si>
  <si>
    <t xml:space="preserve">P041 · col S</t>
  </si>
  <si>
    <t xml:space="preserve">Épouse de Joseph (P040), mère de Pierre né en 1833 (D026). Nom FAURE lu avec un doute.</t>
  </si>
  <si>
    <t xml:space="preserve">P038 · col P</t>
  </si>
  <si>
    <t xml:space="preserve">Chercher acte de naissance ou de décès de Rosalie PEYRACHON (Saint-Jeures, après 1850) → vérifier si c'est la Rosalie née le 27/09/1852 (D027) et son lien avec Rose (P036)</t>
  </si>
  <si>
    <t xml:space="preserve">Chercher acte de naissance ou de décès de Rosalie PEYRACHON (Saint-Jeures, après 1850) → vérifier si c'est la Rosalie née le 27/09/1852 (D026) et son lien avec Rose (P036)</t>
  </si>
  <si>
    <t xml:space="preserve">P055 · col S</t>
  </si>
  <si>
    <t xml:space="preserve">Cultivateur, domicilié à Pélines (Saint-Jeures) en 1852 (D027) ; présent au mariage de sa fille en 1881 (D022).</t>
  </si>
  <si>
    <t xml:space="preserve">P056 · col S</t>
  </si>
  <si>
    <t xml:space="preserve">Décédée à Pélines (Saint-Jeures) d'après l'acte de mariage de 1881 (D022) ; nom OUDIN lu sur D027, à vérifier.</t>
  </si>
  <si>
    <t xml:space="preserve">P057 · col S</t>
  </si>
  <si>
    <t xml:space="preserve">Père de Cyprien (D023, D024). Date de décès lue sur l'acte de mariage de 1912 : à vérifier sur l'original.</t>
  </si>
  <si>
    <t xml:space="preserve">P058 · col S</t>
  </si>
  <si>
    <t xml:space="preserve">Mère de Cyprien (D023, D024). Date de décès lue sur l'acte de mariage de 1912 : à vérifier sur l'original.</t>
  </si>
  <si>
    <t xml:space="preserve">P036 · col S</t>
  </si>
  <si>
    <t xml:space="preserve">https://gw.geneanet.org/andrerussier?lang=fr&amp;n=laulagnier&amp;p=marie+marguerite | Acte de mariage D022 : « Marie Rosalie », née à Saint-Jeures le 9 avril 1854, 26 ans en 1881 ; tombe 1853 ou 1855 ; appelée Rose ou Rosette.</t>
  </si>
  <si>
    <t xml:space="preserve">P002 · col S</t>
  </si>
  <si>
    <t xml:space="preserve">Acte de mariage de 1912 (D023) : légitimé par Cyprien et Élise ; naissance inscrite à la mairie du Puy sous le n°269 (père non nommé). La date lue est « 18 novembre » : à comparer avec le 8 novembre du fichier.</t>
  </si>
  <si>
    <t xml:space="preserve">Note périmée remplacée</t>
  </si>
  <si>
    <t xml:space="preserve">colonnes P et R</t>
  </si>
  <si>
    <t xml:space="preserve">anciennes pistes / R calculée</t>
  </si>
  <si>
    <t xml:space="preserve">R = « Confirmé par » (fait ← document), P = « Reste à confirmer / hypothèses »</t>
  </si>
  <si>
    <t xml:space="preserve">Nouvelle structure demandée par l'utilisateur</t>
  </si>
  <si>
    <t xml:space="preserve">tri des lignes</t>
  </si>
  <si>
    <t xml:space="preserve">ordre d'origine</t>
  </si>
  <si>
    <t xml:space="preserve">couple PEPE-MEME et enfants, puis branche Bertholon, Laulagnier-Bessières, Peyrachon, Giraud-Soly, homonymes ; dans chaque groupe, du plus ancien au plus récent</t>
  </si>
  <si>
    <t xml:space="preserve">Les mêmes données, mieux rangées pour dessiner l'arbre (rien d'autre n'a changé)</t>
  </si>
  <si>
    <t xml:space="preserve">volet figé</t>
  </si>
  <si>
    <t xml:space="preserve">B2 ou Q23</t>
  </si>
  <si>
    <t xml:space="preserve">C2</t>
  </si>
  <si>
    <t xml:space="preserve">ID et prénom restent visibles en défilant</t>
  </si>
  <si>
    <t xml:space="preserve">colonne O</t>
  </si>
  <si>
    <t xml:space="preserve">aucune couleur</t>
  </si>
  <si>
    <t xml:space="preserve">vert = confirmé, jaune = partiel, orange = à confirmer</t>
  </si>
  <si>
    <t xml:space="preserve">Lecture rapide (mise en forme conditionnelle)</t>
  </si>
  <si>
    <t xml:space="preserve">colonne J (nouvelle)</t>
  </si>
  <si>
    <t xml:space="preserve">Noter la cote et la vue pour retrouver l'acte sans le copier sur Proton Drive</t>
  </si>
  <si>
    <t xml:space="preserve">Fiche (onglet retiré en V4b)</t>
  </si>
  <si>
    <t xml:space="preserve">onglet supprimé</t>
  </si>
  <si>
    <t xml:space="preserve">Le fichier V4 se bloquait à l'ouverture chez l'utilisateur (formules matricielles de l'onglet). Les fiches sont sur le site (fiches.html), qui lit ce tableau.</t>
  </si>
  <si>
    <t xml:space="preserve">Fichier plus léger et plus sûr</t>
  </si>
</sst>
</file>

<file path=xl/styles.xml><?xml version="1.0" encoding="utf-8"?>
<styleSheet xmlns="http://schemas.openxmlformats.org/spreadsheetml/2006/main">
  <numFmts count="2">
    <numFmt numFmtId="164" formatCode="General"/>
    <numFmt numFmtId="165" formatCode="@"/>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s>
  <fills count="9">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abSelected="1">
      <pane ySplit="1" topLeftCell="A2" activePane="bottomLeft" state="frozen"/>
      <selection pane="bottomLeft" activeCell="A2" sqref="A2"/>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true" hidden="false" outlineLevel="0" max="4" min="4" style="1" width="13"/>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true" hidden="false" outlineLevel="0" max="8" min="8" style="1" width="13.82"/>
    <col collapsed="false" customWidth="true" hidden="false" outlineLevel="0" max="10" min="9"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true" hidden="false" outlineLevel="0" max="16" min="16" style="1" width="72"/>
    <col collapsed="false" customWidth="true" hidden="false" outlineLevel="0" max="17" min="17" style="1" width="44.45"/>
    <col collapsed="false" customWidth="true" hidden="false" outlineLevel="0" max="18" min="18" style="1" width="62"/>
    <col collapsed="false" customWidth="true" hidden="false" outlineLevel="0" max="19" min="19" style="1" width="70"/>
    <col collapsed="false" customWidth="false" hidden="false" outlineLevel="0" max="16384" min="20" style="1" width="8.68"/>
  </cols>
  <sheetData>
    <row r="1" customFormat="false" ht="33.75" hidden="false" customHeight="tru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Format="false" ht="42.75" hidden="false" customHeight="true" outlineLevel="0" collapsed="false">
      <c r="A2" s="4" t="s">
        <v>19</v>
      </c>
      <c r="B2" s="4" t="s">
        <v>20</v>
      </c>
      <c r="C2" s="4" t="s">
        <v>21</v>
      </c>
      <c r="D2" s="4" t="s">
        <v>22</v>
      </c>
      <c r="E2" s="4" t="s">
        <v>23</v>
      </c>
      <c r="F2" s="5" t="s">
        <v>24</v>
      </c>
      <c r="G2" s="4" t="s">
        <v>25</v>
      </c>
      <c r="H2" s="5" t="s">
        <v>26</v>
      </c>
      <c r="I2" s="4" t="s">
        <v>27</v>
      </c>
      <c r="J2" s="4" t="s">
        <v>28</v>
      </c>
      <c r="K2" s="4" t="s">
        <v>29</v>
      </c>
      <c r="L2" s="4" t="s">
        <v>30</v>
      </c>
      <c r="M2" s="4" t="n">
        <v>1</v>
      </c>
      <c r="N2" s="4" t="s">
        <v>31</v>
      </c>
      <c r="O2" s="4" t="str">
        <f aca="false">IF($A2="","",IF($R2="","à confirmer",IF($P2&lt;&gt;"","partiel","confirmé")))</f>
        <v>partiel</v>
      </c>
      <c r="P2" s="6" t="s">
        <v>32</v>
      </c>
      <c r="Q2" s="2" t="s">
        <v>33</v>
      </c>
      <c r="R2" s="6" t="s">
        <v>34</v>
      </c>
      <c r="S2" s="6"/>
    </row>
    <row r="3" customFormat="false" ht="69" hidden="false" customHeight="true" outlineLevel="0" collapsed="false">
      <c r="A3" s="4" t="s">
        <v>29</v>
      </c>
      <c r="B3" s="4" t="s">
        <v>35</v>
      </c>
      <c r="C3" s="4" t="s">
        <v>21</v>
      </c>
      <c r="D3" s="4"/>
      <c r="E3" s="4" t="s">
        <v>36</v>
      </c>
      <c r="F3" s="5" t="s">
        <v>37</v>
      </c>
      <c r="G3" s="4" t="s">
        <v>38</v>
      </c>
      <c r="H3" s="5" t="s">
        <v>39</v>
      </c>
      <c r="I3" s="4" t="s">
        <v>40</v>
      </c>
      <c r="J3" s="4" t="s">
        <v>41</v>
      </c>
      <c r="K3" s="4" t="s">
        <v>19</v>
      </c>
      <c r="L3" s="4" t="s">
        <v>42</v>
      </c>
      <c r="M3" s="4" t="n">
        <v>1</v>
      </c>
      <c r="N3" s="4" t="s">
        <v>43</v>
      </c>
      <c r="O3" s="4" t="str">
        <f aca="false">IF($A3="","",IF($R3="","à confirmer",IF($P3&lt;&gt;"","partiel","confirmé")))</f>
        <v>partiel</v>
      </c>
      <c r="P3" s="6" t="s">
        <v>44</v>
      </c>
      <c r="Q3" s="2" t="s">
        <v>45</v>
      </c>
      <c r="R3" s="6" t="s">
        <v>46</v>
      </c>
      <c r="S3" s="6" t="s">
        <v>47</v>
      </c>
    </row>
    <row r="4" s="11" customFormat="true" ht="24" hidden="false" customHeight="true" outlineLevel="0" collapsed="false">
      <c r="A4" s="7" t="s">
        <v>48</v>
      </c>
      <c r="B4" s="7" t="s">
        <v>49</v>
      </c>
      <c r="C4" s="7" t="s">
        <v>50</v>
      </c>
      <c r="D4" s="7" t="s">
        <v>21</v>
      </c>
      <c r="E4" s="7" t="s">
        <v>23</v>
      </c>
      <c r="F4" s="8" t="s">
        <v>51</v>
      </c>
      <c r="G4" s="7" t="s">
        <v>52</v>
      </c>
      <c r="H4" s="8"/>
      <c r="I4" s="7" t="s">
        <v>29</v>
      </c>
      <c r="J4" s="7" t="s">
        <v>19</v>
      </c>
      <c r="K4" s="7"/>
      <c r="L4" s="7" t="s">
        <v>53</v>
      </c>
      <c r="M4" s="7" t="n">
        <v>0</v>
      </c>
      <c r="N4" s="7" t="s">
        <v>54</v>
      </c>
      <c r="O4" s="7" t="str">
        <f aca="false">IF($A4="","",IF($R4="","à confirmer",IF($P4&lt;&gt;"","partiel","confirmé")))</f>
        <v>confirmé</v>
      </c>
      <c r="P4" s="9"/>
      <c r="Q4" s="10" t="s">
        <v>55</v>
      </c>
      <c r="R4" s="9" t="s">
        <v>56</v>
      </c>
      <c r="S4" s="9"/>
    </row>
    <row r="5" s="12" customFormat="true" ht="24" hidden="false" customHeight="true" outlineLevel="0" collapsed="false">
      <c r="A5" s="7" t="s">
        <v>57</v>
      </c>
      <c r="B5" s="7" t="s">
        <v>58</v>
      </c>
      <c r="C5" s="7" t="s">
        <v>59</v>
      </c>
      <c r="D5" s="7" t="s">
        <v>21</v>
      </c>
      <c r="E5" s="7" t="s">
        <v>23</v>
      </c>
      <c r="F5" s="8" t="s">
        <v>60</v>
      </c>
      <c r="G5" s="7" t="s">
        <v>61</v>
      </c>
      <c r="H5" s="8"/>
      <c r="I5" s="7" t="s">
        <v>29</v>
      </c>
      <c r="J5" s="7" t="s">
        <v>19</v>
      </c>
      <c r="K5" s="7"/>
      <c r="L5" s="7" t="s">
        <v>62</v>
      </c>
      <c r="M5" s="7" t="n">
        <v>0</v>
      </c>
      <c r="N5" s="7" t="s">
        <v>54</v>
      </c>
      <c r="O5" s="7" t="str">
        <f aca="false">IF($A5="","",IF($R5="","à confirmer",IF($P5&lt;&gt;"","partiel","confirmé")))</f>
        <v>confirmé</v>
      </c>
      <c r="P5" s="9"/>
      <c r="Q5" s="10" t="s">
        <v>55</v>
      </c>
      <c r="R5" s="9" t="s">
        <v>56</v>
      </c>
      <c r="S5" s="9"/>
    </row>
    <row r="6" s="11" customFormat="true" ht="24" hidden="false" customHeight="true" outlineLevel="0" collapsed="false">
      <c r="A6" s="7" t="s">
        <v>63</v>
      </c>
      <c r="B6" s="7" t="s">
        <v>64</v>
      </c>
      <c r="C6" s="7" t="s">
        <v>65</v>
      </c>
      <c r="D6" s="7" t="s">
        <v>21</v>
      </c>
      <c r="E6" s="7" t="s">
        <v>23</v>
      </c>
      <c r="F6" s="8" t="s">
        <v>66</v>
      </c>
      <c r="G6" s="7" t="s">
        <v>61</v>
      </c>
      <c r="H6" s="8"/>
      <c r="I6" s="7" t="s">
        <v>29</v>
      </c>
      <c r="J6" s="7" t="s">
        <v>19</v>
      </c>
      <c r="K6" s="7"/>
      <c r="L6" s="7" t="s">
        <v>67</v>
      </c>
      <c r="M6" s="7" t="n">
        <v>0</v>
      </c>
      <c r="N6" s="7" t="s">
        <v>54</v>
      </c>
      <c r="O6" s="7" t="str">
        <f aca="false">IF($A6="","",IF($R6="","à confirmer",IF($P6&lt;&gt;"","partiel","confirmé")))</f>
        <v>confirmé</v>
      </c>
      <c r="P6" s="9"/>
      <c r="Q6" s="10" t="s">
        <v>55</v>
      </c>
      <c r="R6" s="9" t="s">
        <v>56</v>
      </c>
      <c r="S6" s="9"/>
    </row>
    <row r="7" s="11" customFormat="true" ht="24" hidden="false" customHeight="true" outlineLevel="0" collapsed="false">
      <c r="A7" s="7" t="s">
        <v>68</v>
      </c>
      <c r="B7" s="7" t="s">
        <v>69</v>
      </c>
      <c r="C7" s="7" t="s">
        <v>21</v>
      </c>
      <c r="D7" s="7"/>
      <c r="E7" s="7" t="s">
        <v>36</v>
      </c>
      <c r="F7" s="8" t="s">
        <v>70</v>
      </c>
      <c r="G7" s="7" t="s">
        <v>71</v>
      </c>
      <c r="H7" s="8"/>
      <c r="I7" s="7" t="s">
        <v>29</v>
      </c>
      <c r="J7" s="7" t="s">
        <v>19</v>
      </c>
      <c r="K7" s="7"/>
      <c r="L7" s="7" t="s">
        <v>72</v>
      </c>
      <c r="M7" s="7" t="n">
        <v>0</v>
      </c>
      <c r="N7" s="7" t="s">
        <v>54</v>
      </c>
      <c r="O7" s="7" t="str">
        <f aca="false">IF($A7="","",IF($R7="","à confirmer",IF($P7&lt;&gt;"","partiel","confirmé")))</f>
        <v>confirmé</v>
      </c>
      <c r="P7" s="9"/>
      <c r="Q7" s="10" t="s">
        <v>73</v>
      </c>
      <c r="R7" s="9" t="s">
        <v>56</v>
      </c>
      <c r="S7" s="9"/>
    </row>
    <row r="8" s="13" customFormat="true" ht="24" hidden="false" customHeight="true" outlineLevel="0" collapsed="false">
      <c r="A8" s="7" t="s">
        <v>74</v>
      </c>
      <c r="B8" s="7" t="s">
        <v>75</v>
      </c>
      <c r="C8" s="7" t="s">
        <v>21</v>
      </c>
      <c r="D8" s="7"/>
      <c r="E8" s="7" t="s">
        <v>36</v>
      </c>
      <c r="F8" s="8" t="s">
        <v>76</v>
      </c>
      <c r="G8" s="7" t="s">
        <v>71</v>
      </c>
      <c r="H8" s="8"/>
      <c r="I8" s="7" t="s">
        <v>29</v>
      </c>
      <c r="J8" s="7" t="s">
        <v>19</v>
      </c>
      <c r="K8" s="7"/>
      <c r="L8" s="7" t="s">
        <v>77</v>
      </c>
      <c r="M8" s="7" t="n">
        <v>0</v>
      </c>
      <c r="N8" s="7" t="s">
        <v>54</v>
      </c>
      <c r="O8" s="7" t="str">
        <f aca="false">IF($A8="","",IF($R8="","à confirmer",IF($P8&lt;&gt;"","partiel","confirmé")))</f>
        <v>confirmé</v>
      </c>
      <c r="P8" s="9"/>
      <c r="Q8" s="10" t="s">
        <v>73</v>
      </c>
      <c r="R8" s="9" t="s">
        <v>56</v>
      </c>
      <c r="S8" s="9"/>
    </row>
    <row r="9" s="13" customFormat="true" ht="24" hidden="false" customHeight="true" outlineLevel="0" collapsed="false">
      <c r="A9" s="7" t="s">
        <v>78</v>
      </c>
      <c r="B9" s="7" t="s">
        <v>79</v>
      </c>
      <c r="C9" s="7" t="s">
        <v>80</v>
      </c>
      <c r="D9" s="7" t="s">
        <v>21</v>
      </c>
      <c r="E9" s="7" t="s">
        <v>23</v>
      </c>
      <c r="F9" s="8" t="s">
        <v>81</v>
      </c>
      <c r="G9" s="7" t="s">
        <v>71</v>
      </c>
      <c r="H9" s="8"/>
      <c r="I9" s="7" t="s">
        <v>29</v>
      </c>
      <c r="J9" s="7" t="s">
        <v>19</v>
      </c>
      <c r="K9" s="7"/>
      <c r="L9" s="7" t="s">
        <v>82</v>
      </c>
      <c r="M9" s="7" t="n">
        <v>0</v>
      </c>
      <c r="N9" s="7" t="s">
        <v>54</v>
      </c>
      <c r="O9" s="7" t="str">
        <f aca="false">IF($A9="","",IF($R9="","à confirmer",IF($P9&lt;&gt;"","partiel","confirmé")))</f>
        <v>confirmé</v>
      </c>
      <c r="P9" s="9"/>
      <c r="Q9" s="10" t="s">
        <v>55</v>
      </c>
      <c r="R9" s="9" t="s">
        <v>56</v>
      </c>
      <c r="S9" s="9"/>
    </row>
    <row r="10" customFormat="false" ht="24" hidden="false" customHeight="true" outlineLevel="0" collapsed="false">
      <c r="A10" s="7" t="s">
        <v>83</v>
      </c>
      <c r="B10" s="7" t="s">
        <v>84</v>
      </c>
      <c r="C10" s="7" t="s">
        <v>21</v>
      </c>
      <c r="D10" s="7"/>
      <c r="E10" s="7" t="s">
        <v>36</v>
      </c>
      <c r="F10" s="8" t="s">
        <v>85</v>
      </c>
      <c r="G10" s="7" t="s">
        <v>71</v>
      </c>
      <c r="H10" s="8"/>
      <c r="I10" s="7" t="s">
        <v>29</v>
      </c>
      <c r="J10" s="7" t="s">
        <v>19</v>
      </c>
      <c r="K10" s="7"/>
      <c r="L10" s="7" t="s">
        <v>86</v>
      </c>
      <c r="M10" s="7" t="n">
        <v>0</v>
      </c>
      <c r="N10" s="7" t="s">
        <v>54</v>
      </c>
      <c r="O10" s="7" t="str">
        <f aca="false">IF($A10="","",IF($R10="","à confirmer",IF($P10&lt;&gt;"","partiel","confirmé")))</f>
        <v>confirmé</v>
      </c>
      <c r="P10" s="9"/>
      <c r="Q10" s="10" t="s">
        <v>73</v>
      </c>
      <c r="R10" s="9" t="s">
        <v>56</v>
      </c>
      <c r="S10" s="9"/>
    </row>
    <row r="11" customFormat="false" ht="24" hidden="false" customHeight="true" outlineLevel="0" collapsed="false">
      <c r="A11" s="7" t="s">
        <v>87</v>
      </c>
      <c r="B11" s="7" t="s">
        <v>88</v>
      </c>
      <c r="C11" s="7" t="s">
        <v>21</v>
      </c>
      <c r="D11" s="7"/>
      <c r="E11" s="7" t="s">
        <v>36</v>
      </c>
      <c r="F11" s="8" t="s">
        <v>89</v>
      </c>
      <c r="G11" s="7" t="s">
        <v>71</v>
      </c>
      <c r="H11" s="8"/>
      <c r="I11" s="7" t="s">
        <v>29</v>
      </c>
      <c r="J11" s="7" t="s">
        <v>19</v>
      </c>
      <c r="K11" s="7"/>
      <c r="L11" s="7" t="s">
        <v>90</v>
      </c>
      <c r="M11" s="7" t="n">
        <v>0</v>
      </c>
      <c r="N11" s="7" t="s">
        <v>54</v>
      </c>
      <c r="O11" s="7" t="str">
        <f aca="false">IF($A11="","",IF($R11="","à confirmer",IF($P11&lt;&gt;"","partiel","confirmé")))</f>
        <v>confirmé</v>
      </c>
      <c r="P11" s="9"/>
      <c r="Q11" s="10" t="s">
        <v>73</v>
      </c>
      <c r="R11" s="9" t="s">
        <v>56</v>
      </c>
      <c r="S11" s="9"/>
    </row>
    <row r="12" customFormat="false" ht="42.75" hidden="false" customHeight="true" outlineLevel="0" collapsed="false">
      <c r="A12" s="14" t="s">
        <v>91</v>
      </c>
      <c r="B12" s="14" t="s">
        <v>92</v>
      </c>
      <c r="C12" s="14" t="s">
        <v>21</v>
      </c>
      <c r="D12" s="14"/>
      <c r="E12" s="14" t="s">
        <v>36</v>
      </c>
      <c r="F12" s="15"/>
      <c r="G12" s="14"/>
      <c r="H12" s="15" t="s">
        <v>93</v>
      </c>
      <c r="I12" s="14"/>
      <c r="J12" s="14"/>
      <c r="K12" s="14" t="s">
        <v>94</v>
      </c>
      <c r="L12" s="14"/>
      <c r="M12" s="14" t="n">
        <v>3</v>
      </c>
      <c r="N12" s="14" t="s">
        <v>43</v>
      </c>
      <c r="O12" s="14" t="str">
        <f aca="false">IF($A12="","",IF($R12="","à confirmer",IF($P12&lt;&gt;"","partiel","confirmé")))</f>
        <v>partiel</v>
      </c>
      <c r="P12" s="16" t="s">
        <v>95</v>
      </c>
      <c r="Q12" s="17"/>
      <c r="R12" s="16" t="s">
        <v>96</v>
      </c>
      <c r="S12" s="16" t="s">
        <v>97</v>
      </c>
    </row>
    <row r="13" s="18" customFormat="true" ht="30" hidden="false" customHeight="true" outlineLevel="0" collapsed="false">
      <c r="A13" s="14" t="s">
        <v>94</v>
      </c>
      <c r="B13" s="14" t="s">
        <v>98</v>
      </c>
      <c r="C13" s="14" t="s">
        <v>21</v>
      </c>
      <c r="D13" s="14" t="s">
        <v>99</v>
      </c>
      <c r="E13" s="14" t="s">
        <v>23</v>
      </c>
      <c r="F13" s="15"/>
      <c r="G13" s="14"/>
      <c r="H13" s="15" t="s">
        <v>100</v>
      </c>
      <c r="I13" s="14"/>
      <c r="J13" s="14"/>
      <c r="K13" s="14" t="s">
        <v>91</v>
      </c>
      <c r="L13" s="14"/>
      <c r="M13" s="14" t="n">
        <v>3</v>
      </c>
      <c r="N13" s="14" t="s">
        <v>43</v>
      </c>
      <c r="O13" s="14" t="str">
        <f aca="false">IF($A13="","",IF($R13="","à confirmer",IF($P13&lt;&gt;"","partiel","confirmé")))</f>
        <v>partiel</v>
      </c>
      <c r="P13" s="16" t="s">
        <v>101</v>
      </c>
      <c r="Q13" s="17"/>
      <c r="R13" s="16" t="s">
        <v>102</v>
      </c>
      <c r="S13" s="16" t="s">
        <v>103</v>
      </c>
    </row>
    <row r="14" s="20" customFormat="true" ht="69" hidden="false" customHeight="true" outlineLevel="0" collapsed="false">
      <c r="A14" s="14" t="s">
        <v>40</v>
      </c>
      <c r="B14" s="14" t="s">
        <v>104</v>
      </c>
      <c r="C14" s="14" t="s">
        <v>21</v>
      </c>
      <c r="D14" s="14"/>
      <c r="E14" s="14" t="s">
        <v>36</v>
      </c>
      <c r="F14" s="15" t="s">
        <v>105</v>
      </c>
      <c r="G14" s="14" t="s">
        <v>52</v>
      </c>
      <c r="H14" s="19" t="s">
        <v>106</v>
      </c>
      <c r="I14" s="14" t="s">
        <v>91</v>
      </c>
      <c r="J14" s="14" t="s">
        <v>94</v>
      </c>
      <c r="K14" s="14" t="s">
        <v>41</v>
      </c>
      <c r="L14" s="14"/>
      <c r="M14" s="14" t="n">
        <v>2</v>
      </c>
      <c r="N14" s="14" t="s">
        <v>43</v>
      </c>
      <c r="O14" s="14" t="str">
        <f aca="false">IF($A14="","",IF($R14="","à confirmer",IF($P14&lt;&gt;"","partiel","confirmé")))</f>
        <v>partiel</v>
      </c>
      <c r="P14" s="16" t="s">
        <v>107</v>
      </c>
      <c r="Q14" s="14" t="s">
        <v>73</v>
      </c>
      <c r="R14" s="16" t="s">
        <v>108</v>
      </c>
      <c r="S14" s="16"/>
    </row>
    <row r="15" s="20" customFormat="true" ht="30" hidden="false" customHeight="true" outlineLevel="0" collapsed="false">
      <c r="A15" s="21" t="s">
        <v>109</v>
      </c>
      <c r="B15" s="21" t="s">
        <v>110</v>
      </c>
      <c r="C15" s="21" t="s">
        <v>21</v>
      </c>
      <c r="D15" s="21"/>
      <c r="E15" s="21" t="s">
        <v>36</v>
      </c>
      <c r="F15" s="22" t="s">
        <v>111</v>
      </c>
      <c r="G15" s="21" t="s">
        <v>52</v>
      </c>
      <c r="H15" s="22"/>
      <c r="I15" s="21" t="s">
        <v>40</v>
      </c>
      <c r="J15" s="21" t="s">
        <v>41</v>
      </c>
      <c r="K15" s="21"/>
      <c r="L15" s="21" t="s">
        <v>112</v>
      </c>
      <c r="M15" s="21" t="n">
        <v>1</v>
      </c>
      <c r="N15" s="21" t="s">
        <v>43</v>
      </c>
      <c r="O15" s="21" t="str">
        <f aca="false">IF($A15="","",IF($R15="","à confirmer",IF($P15&lt;&gt;"","partiel","confirmé")))</f>
        <v>partiel</v>
      </c>
      <c r="P15" s="23" t="s">
        <v>113</v>
      </c>
      <c r="Q15" s="24" t="s">
        <v>114</v>
      </c>
      <c r="R15" s="23" t="s">
        <v>115</v>
      </c>
      <c r="S15" s="23"/>
    </row>
    <row r="16" s="20" customFormat="true" ht="30" hidden="false" customHeight="true" outlineLevel="0" collapsed="false">
      <c r="A16" s="25" t="s">
        <v>116</v>
      </c>
      <c r="B16" s="25" t="s">
        <v>117</v>
      </c>
      <c r="C16" s="25" t="s">
        <v>118</v>
      </c>
      <c r="D16" s="25" t="s">
        <v>21</v>
      </c>
      <c r="E16" s="25" t="s">
        <v>23</v>
      </c>
      <c r="F16" s="26" t="s">
        <v>119</v>
      </c>
      <c r="G16" s="25"/>
      <c r="H16" s="26" t="s">
        <v>120</v>
      </c>
      <c r="I16" s="25" t="s">
        <v>40</v>
      </c>
      <c r="J16" s="25" t="s">
        <v>41</v>
      </c>
      <c r="K16" s="25" t="s">
        <v>121</v>
      </c>
      <c r="L16" s="25" t="s">
        <v>122</v>
      </c>
      <c r="M16" s="25" t="n">
        <v>1</v>
      </c>
      <c r="N16" s="25" t="s">
        <v>43</v>
      </c>
      <c r="O16" s="25" t="str">
        <f aca="false">IF($A16="","",IF($R16="","à confirmer",IF($P16&lt;&gt;"","partiel","confirmé")))</f>
        <v>partiel</v>
      </c>
      <c r="P16" s="27" t="s">
        <v>123</v>
      </c>
      <c r="Q16" s="25" t="s">
        <v>55</v>
      </c>
      <c r="R16" s="27" t="s">
        <v>124</v>
      </c>
      <c r="S16" s="27" t="s">
        <v>125</v>
      </c>
    </row>
    <row r="17" s="20" customFormat="true" ht="30" hidden="false" customHeight="true" outlineLevel="0" collapsed="false">
      <c r="A17" s="21" t="s">
        <v>126</v>
      </c>
      <c r="B17" s="21" t="s">
        <v>127</v>
      </c>
      <c r="C17" s="21" t="s">
        <v>21</v>
      </c>
      <c r="D17" s="21"/>
      <c r="E17" s="21" t="s">
        <v>36</v>
      </c>
      <c r="F17" s="22" t="s">
        <v>128</v>
      </c>
      <c r="G17" s="21" t="s">
        <v>52</v>
      </c>
      <c r="H17" s="22"/>
      <c r="I17" s="21" t="s">
        <v>40</v>
      </c>
      <c r="J17" s="21" t="s">
        <v>41</v>
      </c>
      <c r="K17" s="21" t="s">
        <v>129</v>
      </c>
      <c r="L17" s="21" t="s">
        <v>130</v>
      </c>
      <c r="M17" s="21" t="n">
        <v>1</v>
      </c>
      <c r="N17" s="21" t="s">
        <v>43</v>
      </c>
      <c r="O17" s="21" t="str">
        <f aca="false">IF($A17="","",IF($R17="","à confirmer",IF($P17&lt;&gt;"","partiel","confirmé")))</f>
        <v>partiel</v>
      </c>
      <c r="P17" s="23" t="s">
        <v>131</v>
      </c>
      <c r="Q17" s="28" t="s">
        <v>73</v>
      </c>
      <c r="R17" s="23" t="s">
        <v>132</v>
      </c>
      <c r="S17" s="23"/>
    </row>
    <row r="18" s="20" customFormat="true" ht="42.75" hidden="false" customHeight="true" outlineLevel="0" collapsed="false">
      <c r="A18" s="21" t="s">
        <v>133</v>
      </c>
      <c r="B18" s="21" t="s">
        <v>134</v>
      </c>
      <c r="C18" s="21" t="s">
        <v>21</v>
      </c>
      <c r="D18" s="21"/>
      <c r="E18" s="21" t="s">
        <v>36</v>
      </c>
      <c r="F18" s="22" t="s">
        <v>135</v>
      </c>
      <c r="G18" s="21" t="s">
        <v>52</v>
      </c>
      <c r="H18" s="22" t="s">
        <v>136</v>
      </c>
      <c r="I18" s="21" t="s">
        <v>40</v>
      </c>
      <c r="J18" s="21" t="s">
        <v>41</v>
      </c>
      <c r="K18" s="21"/>
      <c r="L18" s="21" t="s">
        <v>137</v>
      </c>
      <c r="M18" s="21" t="n">
        <v>1</v>
      </c>
      <c r="N18" s="21" t="s">
        <v>43</v>
      </c>
      <c r="O18" s="21" t="str">
        <f aca="false">IF($A18="","",IF($R18="","à confirmer",IF($P18&lt;&gt;"","partiel","confirmé")))</f>
        <v>partiel</v>
      </c>
      <c r="P18" s="23" t="s">
        <v>138</v>
      </c>
      <c r="Q18" s="28" t="s">
        <v>73</v>
      </c>
      <c r="R18" s="23" t="s">
        <v>139</v>
      </c>
      <c r="S18" s="23"/>
    </row>
    <row r="19" s="20" customFormat="true" ht="30" hidden="false" customHeight="true" outlineLevel="0" collapsed="false">
      <c r="A19" s="21" t="s">
        <v>121</v>
      </c>
      <c r="B19" s="21" t="s">
        <v>140</v>
      </c>
      <c r="C19" s="21" t="s">
        <v>118</v>
      </c>
      <c r="D19" s="21"/>
      <c r="E19" s="21" t="s">
        <v>36</v>
      </c>
      <c r="F19" s="22" t="s">
        <v>141</v>
      </c>
      <c r="G19" s="21"/>
      <c r="H19" s="22" t="s">
        <v>142</v>
      </c>
      <c r="I19" s="21"/>
      <c r="J19" s="21"/>
      <c r="K19" s="21" t="s">
        <v>116</v>
      </c>
      <c r="L19" s="21"/>
      <c r="M19" s="21" t="n">
        <v>1</v>
      </c>
      <c r="N19" s="21" t="s">
        <v>43</v>
      </c>
      <c r="O19" s="21" t="str">
        <f aca="false">IF($A19="","",IF($R19="","à confirmer",IF($P19&lt;&gt;"","partiel","confirmé")))</f>
        <v>partiel</v>
      </c>
      <c r="P19" s="23" t="s">
        <v>143</v>
      </c>
      <c r="Q19" s="28" t="s">
        <v>73</v>
      </c>
      <c r="R19" s="23" t="s">
        <v>144</v>
      </c>
      <c r="S19" s="23" t="s">
        <v>145</v>
      </c>
    </row>
    <row r="20" s="20" customFormat="true" ht="30" hidden="false" customHeight="true" outlineLevel="0" collapsed="false">
      <c r="A20" s="14" t="s">
        <v>129</v>
      </c>
      <c r="B20" s="14" t="s">
        <v>146</v>
      </c>
      <c r="C20" s="14" t="s">
        <v>21</v>
      </c>
      <c r="D20" s="14"/>
      <c r="E20" s="14" t="s">
        <v>23</v>
      </c>
      <c r="F20" s="15"/>
      <c r="G20" s="14"/>
      <c r="H20" s="15"/>
      <c r="I20" s="14"/>
      <c r="J20" s="14"/>
      <c r="K20" s="14" t="s">
        <v>126</v>
      </c>
      <c r="L20" s="14"/>
      <c r="M20" s="14" t="n">
        <v>1</v>
      </c>
      <c r="N20" s="14" t="s">
        <v>43</v>
      </c>
      <c r="O20" s="14" t="str">
        <f aca="false">IF($A20="","",IF($R20="","à confirmer",IF($P20&lt;&gt;"","partiel","confirmé")))</f>
        <v>à confirmer</v>
      </c>
      <c r="P20" s="16" t="s">
        <v>147</v>
      </c>
      <c r="Q20" s="17" t="s">
        <v>55</v>
      </c>
      <c r="R20" s="16"/>
      <c r="S20" s="16"/>
    </row>
    <row r="21" s="20" customFormat="true" ht="30" hidden="false" customHeight="true" outlineLevel="0" collapsed="false">
      <c r="A21" s="14" t="s">
        <v>148</v>
      </c>
      <c r="B21" s="14" t="s">
        <v>149</v>
      </c>
      <c r="C21" s="14" t="s">
        <v>118</v>
      </c>
      <c r="D21" s="14"/>
      <c r="E21" s="14" t="s">
        <v>36</v>
      </c>
      <c r="F21" s="15"/>
      <c r="G21" s="14"/>
      <c r="H21" s="15"/>
      <c r="I21" s="14" t="s">
        <v>121</v>
      </c>
      <c r="J21" s="14" t="s">
        <v>116</v>
      </c>
      <c r="K21" s="14"/>
      <c r="L21" s="14"/>
      <c r="M21" s="14" t="n">
        <v>0</v>
      </c>
      <c r="N21" s="14" t="s">
        <v>43</v>
      </c>
      <c r="O21" s="14" t="str">
        <f aca="false">IF($A21="","",IF($R21="","à confirmer",IF($P21&lt;&gt;"","partiel","confirmé")))</f>
        <v>à confirmer</v>
      </c>
      <c r="P21" s="16" t="s">
        <v>150</v>
      </c>
      <c r="Q21" s="17" t="s">
        <v>73</v>
      </c>
      <c r="R21" s="16"/>
      <c r="S21" s="16"/>
    </row>
    <row r="22" s="29" customFormat="true" ht="30" hidden="false" customHeight="true" outlineLevel="0" collapsed="false">
      <c r="A22" s="14" t="s">
        <v>151</v>
      </c>
      <c r="B22" s="14" t="s">
        <v>152</v>
      </c>
      <c r="C22" s="14" t="s">
        <v>21</v>
      </c>
      <c r="D22" s="14"/>
      <c r="E22" s="14" t="s">
        <v>36</v>
      </c>
      <c r="F22" s="15"/>
      <c r="G22" s="14"/>
      <c r="H22" s="15"/>
      <c r="I22" s="14" t="s">
        <v>126</v>
      </c>
      <c r="J22" s="14" t="s">
        <v>129</v>
      </c>
      <c r="K22" s="14"/>
      <c r="L22" s="14" t="s">
        <v>153</v>
      </c>
      <c r="M22" s="14" t="n">
        <v>0</v>
      </c>
      <c r="N22" s="14" t="s">
        <v>43</v>
      </c>
      <c r="O22" s="14" t="str">
        <f aca="false">IF($A22="","",IF($R22="","à confirmer",IF($P22&lt;&gt;"","partiel","confirmé")))</f>
        <v>à confirmer</v>
      </c>
      <c r="P22" s="16" t="s">
        <v>154</v>
      </c>
      <c r="Q22" s="17" t="s">
        <v>73</v>
      </c>
      <c r="R22" s="16"/>
      <c r="S22" s="16"/>
    </row>
    <row r="23" s="29" customFormat="true" ht="30" hidden="false" customHeight="true" outlineLevel="0" collapsed="false">
      <c r="A23" s="14" t="s">
        <v>153</v>
      </c>
      <c r="B23" s="14" t="s">
        <v>35</v>
      </c>
      <c r="C23" s="14" t="s">
        <v>21</v>
      </c>
      <c r="D23" s="14"/>
      <c r="E23" s="14" t="s">
        <v>36</v>
      </c>
      <c r="F23" s="15"/>
      <c r="G23" s="14"/>
      <c r="H23" s="15"/>
      <c r="I23" s="14" t="s">
        <v>126</v>
      </c>
      <c r="J23" s="14" t="s">
        <v>129</v>
      </c>
      <c r="K23" s="14"/>
      <c r="L23" s="14" t="s">
        <v>151</v>
      </c>
      <c r="M23" s="14" t="n">
        <v>0</v>
      </c>
      <c r="N23" s="14" t="s">
        <v>43</v>
      </c>
      <c r="O23" s="14" t="str">
        <f aca="false">IF($A23="","",IF($R23="","à confirmer",IF($P23&lt;&gt;"","partiel","confirmé")))</f>
        <v>à confirmer</v>
      </c>
      <c r="P23" s="16" t="s">
        <v>154</v>
      </c>
      <c r="Q23" s="17" t="s">
        <v>73</v>
      </c>
      <c r="R23" s="16"/>
      <c r="S23" s="16"/>
    </row>
    <row r="24" s="30" customFormat="true" ht="30" hidden="false" customHeight="true" outlineLevel="0" collapsed="false">
      <c r="A24" s="14" t="s">
        <v>155</v>
      </c>
      <c r="B24" s="14" t="s">
        <v>156</v>
      </c>
      <c r="C24" s="14" t="s">
        <v>157</v>
      </c>
      <c r="D24" s="14"/>
      <c r="E24" s="14" t="s">
        <v>36</v>
      </c>
      <c r="F24" s="15"/>
      <c r="G24" s="14" t="s">
        <v>158</v>
      </c>
      <c r="H24" s="15" t="s">
        <v>159</v>
      </c>
      <c r="I24" s="14"/>
      <c r="J24" s="14"/>
      <c r="K24" s="14" t="s">
        <v>160</v>
      </c>
      <c r="L24" s="14"/>
      <c r="M24" s="14" t="s">
        <v>161</v>
      </c>
      <c r="N24" s="14" t="s">
        <v>43</v>
      </c>
      <c r="O24" s="14" t="str">
        <f aca="false">IF($A24="","",IF($R24="","à confirmer",IF($P24&lt;&gt;"","partiel","confirmé")))</f>
        <v>partiel</v>
      </c>
      <c r="P24" s="16" t="s">
        <v>162</v>
      </c>
      <c r="Q24" s="17"/>
      <c r="R24" s="16" t="s">
        <v>163</v>
      </c>
      <c r="S24" s="16"/>
    </row>
    <row r="25" s="29" customFormat="true" ht="24" hidden="false" customHeight="true" outlineLevel="0" collapsed="false">
      <c r="A25" s="14" t="s">
        <v>160</v>
      </c>
      <c r="B25" s="14" t="s">
        <v>164</v>
      </c>
      <c r="C25" s="14"/>
      <c r="D25" s="14"/>
      <c r="E25" s="14" t="s">
        <v>23</v>
      </c>
      <c r="F25" s="15"/>
      <c r="G25" s="14"/>
      <c r="H25" s="15"/>
      <c r="I25" s="14"/>
      <c r="J25" s="14"/>
      <c r="K25" s="14" t="s">
        <v>155</v>
      </c>
      <c r="L25" s="14"/>
      <c r="M25" s="14" t="s">
        <v>161</v>
      </c>
      <c r="N25" s="14" t="s">
        <v>43</v>
      </c>
      <c r="O25" s="14" t="str">
        <f aca="false">IF($A25="","",IF($R25="","à confirmer",IF($P25&lt;&gt;"","partiel","confirmé")))</f>
        <v>partiel</v>
      </c>
      <c r="P25" s="16" t="s">
        <v>165</v>
      </c>
      <c r="Q25" s="17"/>
      <c r="R25" s="16" t="s">
        <v>166</v>
      </c>
      <c r="S25" s="16"/>
    </row>
    <row r="26" s="30" customFormat="true" ht="30" hidden="false" customHeight="true" outlineLevel="0" collapsed="false">
      <c r="A26" s="14" t="s">
        <v>167</v>
      </c>
      <c r="B26" s="14" t="s">
        <v>168</v>
      </c>
      <c r="C26" s="14" t="s">
        <v>169</v>
      </c>
      <c r="D26" s="14"/>
      <c r="E26" s="14" t="s">
        <v>36</v>
      </c>
      <c r="F26" s="15" t="s">
        <v>170</v>
      </c>
      <c r="G26" s="14"/>
      <c r="H26" s="15"/>
      <c r="I26" s="14"/>
      <c r="J26" s="14"/>
      <c r="K26" s="14" t="s">
        <v>171</v>
      </c>
      <c r="L26" s="14"/>
      <c r="M26" s="14" t="s">
        <v>161</v>
      </c>
      <c r="N26" s="14" t="s">
        <v>43</v>
      </c>
      <c r="O26" s="14" t="str">
        <f aca="false">IF($A26="","",IF($R26="","à confirmer",IF($P26&lt;&gt;"","partiel","confirmé")))</f>
        <v>partiel</v>
      </c>
      <c r="P26" s="16" t="s">
        <v>172</v>
      </c>
      <c r="Q26" s="17"/>
      <c r="R26" s="16" t="s">
        <v>173</v>
      </c>
      <c r="S26" s="16"/>
    </row>
    <row r="27" s="29" customFormat="true" ht="24" hidden="false" customHeight="true" outlineLevel="0" collapsed="false">
      <c r="A27" s="14" t="s">
        <v>171</v>
      </c>
      <c r="B27" s="14" t="s">
        <v>174</v>
      </c>
      <c r="C27" s="14"/>
      <c r="D27" s="14"/>
      <c r="E27" s="14" t="s">
        <v>23</v>
      </c>
      <c r="F27" s="15"/>
      <c r="G27" s="14"/>
      <c r="H27" s="15"/>
      <c r="I27" s="14"/>
      <c r="J27" s="14"/>
      <c r="K27" s="14" t="s">
        <v>167</v>
      </c>
      <c r="L27" s="14"/>
      <c r="M27" s="14" t="s">
        <v>161</v>
      </c>
      <c r="N27" s="14" t="s">
        <v>43</v>
      </c>
      <c r="O27" s="14" t="str">
        <f aca="false">IF($A27="","",IF($R27="","à confirmer",IF($P27&lt;&gt;"","partiel","confirmé")))</f>
        <v>partiel</v>
      </c>
      <c r="P27" s="16" t="s">
        <v>175</v>
      </c>
      <c r="Q27" s="17"/>
      <c r="R27" s="16" t="s">
        <v>176</v>
      </c>
      <c r="S27" s="16"/>
    </row>
    <row r="28" s="29" customFormat="true" ht="69" hidden="false" customHeight="true" outlineLevel="0" collapsed="false">
      <c r="A28" s="21" t="s">
        <v>177</v>
      </c>
      <c r="B28" s="21" t="s">
        <v>156</v>
      </c>
      <c r="C28" s="21" t="s">
        <v>169</v>
      </c>
      <c r="D28" s="21"/>
      <c r="E28" s="21" t="s">
        <v>36</v>
      </c>
      <c r="F28" s="22"/>
      <c r="G28" s="21" t="s">
        <v>178</v>
      </c>
      <c r="H28" s="22" t="s">
        <v>179</v>
      </c>
      <c r="I28" s="21" t="s">
        <v>167</v>
      </c>
      <c r="J28" s="21" t="s">
        <v>171</v>
      </c>
      <c r="K28" s="21" t="s">
        <v>180</v>
      </c>
      <c r="L28" s="21"/>
      <c r="M28" s="21" t="n">
        <v>4</v>
      </c>
      <c r="N28" s="21" t="s">
        <v>43</v>
      </c>
      <c r="O28" s="21" t="str">
        <f aca="false">IF($A28="","",IF($R28="","à confirmer",IF($P28&lt;&gt;"","partiel","confirmé")))</f>
        <v>partiel</v>
      </c>
      <c r="P28" s="23" t="s">
        <v>181</v>
      </c>
      <c r="Q28" s="28" t="s">
        <v>73</v>
      </c>
      <c r="R28" s="23" t="s">
        <v>182</v>
      </c>
      <c r="S28" s="23"/>
    </row>
    <row r="29" s="11" customFormat="true" ht="69" hidden="false" customHeight="true" outlineLevel="0" collapsed="false">
      <c r="A29" s="21" t="s">
        <v>180</v>
      </c>
      <c r="B29" s="21" t="s">
        <v>183</v>
      </c>
      <c r="C29" s="21" t="s">
        <v>157</v>
      </c>
      <c r="D29" s="21"/>
      <c r="E29" s="21" t="s">
        <v>23</v>
      </c>
      <c r="F29" s="22" t="s">
        <v>184</v>
      </c>
      <c r="G29" s="21" t="s">
        <v>158</v>
      </c>
      <c r="H29" s="22" t="s">
        <v>185</v>
      </c>
      <c r="I29" s="21" t="s">
        <v>155</v>
      </c>
      <c r="J29" s="21" t="s">
        <v>160</v>
      </c>
      <c r="K29" s="21" t="s">
        <v>177</v>
      </c>
      <c r="L29" s="21"/>
      <c r="M29" s="21" t="n">
        <v>4</v>
      </c>
      <c r="N29" s="21" t="s">
        <v>43</v>
      </c>
      <c r="O29" s="21" t="str">
        <f aca="false">IF($A29="","",IF($R29="","à confirmer",IF($P29&lt;&gt;"","partiel","confirmé")))</f>
        <v>partiel</v>
      </c>
      <c r="P29" s="23" t="s">
        <v>186</v>
      </c>
      <c r="Q29" s="28" t="s">
        <v>55</v>
      </c>
      <c r="R29" s="23" t="s">
        <v>187</v>
      </c>
      <c r="S29" s="23"/>
    </row>
    <row r="30" s="11" customFormat="true" ht="30" hidden="false" customHeight="true" outlineLevel="0" collapsed="false">
      <c r="A30" s="31" t="s">
        <v>188</v>
      </c>
      <c r="B30" s="31" t="s">
        <v>189</v>
      </c>
      <c r="C30" s="31" t="s">
        <v>169</v>
      </c>
      <c r="D30" s="31"/>
      <c r="E30" s="31" t="s">
        <v>36</v>
      </c>
      <c r="F30" s="32"/>
      <c r="G30" s="31"/>
      <c r="H30" s="32"/>
      <c r="I30" s="31" t="s">
        <v>177</v>
      </c>
      <c r="J30" s="31" t="s">
        <v>180</v>
      </c>
      <c r="K30" s="31"/>
      <c r="L30" s="31" t="s">
        <v>190</v>
      </c>
      <c r="M30" s="31" t="n">
        <v>3</v>
      </c>
      <c r="N30" s="31" t="s">
        <v>43</v>
      </c>
      <c r="O30" s="31" t="str">
        <f aca="false">IF($A30="","",IF($R30="","à confirmer",IF($P30&lt;&gt;"","partiel","confirmé")))</f>
        <v>partiel</v>
      </c>
      <c r="P30" s="33" t="s">
        <v>191</v>
      </c>
      <c r="Q30" s="34" t="s">
        <v>73</v>
      </c>
      <c r="R30" s="33" t="s">
        <v>192</v>
      </c>
      <c r="S30" s="33" t="s">
        <v>193</v>
      </c>
    </row>
    <row r="31" customFormat="false" ht="30" hidden="false" customHeight="true" outlineLevel="0" collapsed="false">
      <c r="A31" s="31" t="s">
        <v>194</v>
      </c>
      <c r="B31" s="31" t="s">
        <v>183</v>
      </c>
      <c r="C31" s="31" t="s">
        <v>169</v>
      </c>
      <c r="D31" s="31"/>
      <c r="E31" s="31" t="s">
        <v>23</v>
      </c>
      <c r="F31" s="32"/>
      <c r="G31" s="31"/>
      <c r="H31" s="32"/>
      <c r="I31" s="31" t="s">
        <v>177</v>
      </c>
      <c r="J31" s="31" t="s">
        <v>180</v>
      </c>
      <c r="K31" s="31"/>
      <c r="L31" s="31" t="s">
        <v>195</v>
      </c>
      <c r="M31" s="31" t="n">
        <v>3</v>
      </c>
      <c r="N31" s="31" t="s">
        <v>43</v>
      </c>
      <c r="O31" s="31" t="str">
        <f aca="false">IF($A31="","",IF($R31="","à confirmer",IF($P31&lt;&gt;"","partiel","confirmé")))</f>
        <v>partiel</v>
      </c>
      <c r="P31" s="33" t="s">
        <v>191</v>
      </c>
      <c r="Q31" s="34" t="s">
        <v>55</v>
      </c>
      <c r="R31" s="33" t="s">
        <v>196</v>
      </c>
      <c r="S31" s="33" t="s">
        <v>197</v>
      </c>
    </row>
    <row r="32" s="13" customFormat="true" ht="30" hidden="false" customHeight="true" outlineLevel="0" collapsed="false">
      <c r="A32" s="31" t="s">
        <v>198</v>
      </c>
      <c r="B32" s="31" t="s">
        <v>199</v>
      </c>
      <c r="C32" s="31" t="s">
        <v>200</v>
      </c>
      <c r="D32" s="31" t="s">
        <v>169</v>
      </c>
      <c r="E32" s="31" t="s">
        <v>23</v>
      </c>
      <c r="F32" s="32"/>
      <c r="G32" s="31"/>
      <c r="H32" s="32"/>
      <c r="I32" s="31" t="s">
        <v>177</v>
      </c>
      <c r="J32" s="31" t="s">
        <v>180</v>
      </c>
      <c r="K32" s="31" t="s">
        <v>201</v>
      </c>
      <c r="L32" s="31" t="s">
        <v>202</v>
      </c>
      <c r="M32" s="31" t="n">
        <v>3</v>
      </c>
      <c r="N32" s="31" t="s">
        <v>43</v>
      </c>
      <c r="O32" s="31" t="str">
        <f aca="false">IF($A32="","",IF($R32="","à confirmer",IF($P32&lt;&gt;"","partiel","confirmé")))</f>
        <v>partiel</v>
      </c>
      <c r="P32" s="33" t="s">
        <v>203</v>
      </c>
      <c r="Q32" s="34" t="s">
        <v>55</v>
      </c>
      <c r="R32" s="33" t="s">
        <v>204</v>
      </c>
      <c r="S32" s="33" t="s">
        <v>205</v>
      </c>
    </row>
    <row r="33" s="35" customFormat="true" ht="30" hidden="false" customHeight="true" outlineLevel="0" collapsed="false">
      <c r="A33" s="31" t="s">
        <v>206</v>
      </c>
      <c r="B33" s="31" t="s">
        <v>207</v>
      </c>
      <c r="C33" s="31" t="s">
        <v>169</v>
      </c>
      <c r="D33" s="31"/>
      <c r="E33" s="31" t="s">
        <v>23</v>
      </c>
      <c r="F33" s="32"/>
      <c r="G33" s="31"/>
      <c r="H33" s="32" t="s">
        <v>208</v>
      </c>
      <c r="I33" s="31" t="s">
        <v>177</v>
      </c>
      <c r="J33" s="31" t="s">
        <v>180</v>
      </c>
      <c r="K33" s="31"/>
      <c r="L33" s="31" t="s">
        <v>209</v>
      </c>
      <c r="M33" s="31" t="n">
        <v>3</v>
      </c>
      <c r="N33" s="31" t="s">
        <v>43</v>
      </c>
      <c r="O33" s="31" t="str">
        <f aca="false">IF($A33="","",IF($R33="","à confirmer",IF($P33&lt;&gt;"","partiel","confirmé")))</f>
        <v>partiel</v>
      </c>
      <c r="P33" s="33" t="s">
        <v>210</v>
      </c>
      <c r="Q33" s="34" t="s">
        <v>55</v>
      </c>
      <c r="R33" s="33" t="s">
        <v>211</v>
      </c>
      <c r="S33" s="33" t="s">
        <v>212</v>
      </c>
    </row>
    <row r="34" s="11" customFormat="true" ht="30" hidden="false" customHeight="true" outlineLevel="0" collapsed="false">
      <c r="A34" s="14" t="s">
        <v>201</v>
      </c>
      <c r="B34" s="14" t="s">
        <v>168</v>
      </c>
      <c r="C34" s="14" t="s">
        <v>200</v>
      </c>
      <c r="D34" s="14"/>
      <c r="E34" s="14" t="s">
        <v>36</v>
      </c>
      <c r="F34" s="15"/>
      <c r="G34" s="14"/>
      <c r="H34" s="15"/>
      <c r="I34" s="14"/>
      <c r="J34" s="14"/>
      <c r="K34" s="14" t="s">
        <v>198</v>
      </c>
      <c r="L34" s="14"/>
      <c r="M34" s="14" t="n">
        <v>3</v>
      </c>
      <c r="N34" s="14" t="s">
        <v>43</v>
      </c>
      <c r="O34" s="14" t="str">
        <f aca="false">IF($A34="","",IF($R34="","à confirmer",IF($P34&lt;&gt;"","partiel","confirmé")))</f>
        <v>partiel</v>
      </c>
      <c r="P34" s="16" t="s">
        <v>213</v>
      </c>
      <c r="Q34" s="17" t="s">
        <v>73</v>
      </c>
      <c r="R34" s="16" t="s">
        <v>214</v>
      </c>
      <c r="S34" s="16"/>
    </row>
    <row r="35" s="39" customFormat="true" ht="81.75" hidden="false" customHeight="true" outlineLevel="0" collapsed="false">
      <c r="A35" s="36" t="s">
        <v>215</v>
      </c>
      <c r="B35" s="36" t="s">
        <v>216</v>
      </c>
      <c r="C35" s="36" t="s">
        <v>169</v>
      </c>
      <c r="D35" s="36"/>
      <c r="E35" s="36" t="s">
        <v>36</v>
      </c>
      <c r="F35" s="37" t="s">
        <v>217</v>
      </c>
      <c r="G35" s="36"/>
      <c r="H35" s="37" t="s">
        <v>218</v>
      </c>
      <c r="I35" s="36" t="s">
        <v>177</v>
      </c>
      <c r="J35" s="36" t="s">
        <v>180</v>
      </c>
      <c r="K35" s="36" t="s">
        <v>219</v>
      </c>
      <c r="L35" s="36" t="s">
        <v>220</v>
      </c>
      <c r="M35" s="36" t="n">
        <v>3</v>
      </c>
      <c r="N35" s="36" t="s">
        <v>43</v>
      </c>
      <c r="O35" s="36" t="str">
        <f aca="false">IF($A35="","",IF($R35="","à confirmer",IF($P35&lt;&gt;"","partiel","confirmé")))</f>
        <v>partiel</v>
      </c>
      <c r="P35" s="38" t="s">
        <v>221</v>
      </c>
      <c r="Q35" s="36" t="s">
        <v>73</v>
      </c>
      <c r="R35" s="38" t="s">
        <v>222</v>
      </c>
      <c r="S35" s="38" t="s">
        <v>223</v>
      </c>
    </row>
    <row r="36" s="39" customFormat="true" ht="69" hidden="false" customHeight="true" outlineLevel="0" collapsed="false">
      <c r="A36" s="36" t="s">
        <v>219</v>
      </c>
      <c r="B36" s="36" t="s">
        <v>224</v>
      </c>
      <c r="C36" s="36" t="s">
        <v>169</v>
      </c>
      <c r="D36" s="36" t="s">
        <v>225</v>
      </c>
      <c r="E36" s="36" t="s">
        <v>23</v>
      </c>
      <c r="F36" s="37" t="s">
        <v>226</v>
      </c>
      <c r="G36" s="36" t="s">
        <v>227</v>
      </c>
      <c r="H36" s="37" t="s">
        <v>228</v>
      </c>
      <c r="I36" s="36" t="s">
        <v>229</v>
      </c>
      <c r="J36" s="36" t="s">
        <v>230</v>
      </c>
      <c r="K36" s="36" t="s">
        <v>215</v>
      </c>
      <c r="L36" s="36" t="s">
        <v>231</v>
      </c>
      <c r="M36" s="36" t="n">
        <v>3</v>
      </c>
      <c r="N36" s="36" t="s">
        <v>43</v>
      </c>
      <c r="O36" s="36" t="str">
        <f aca="false">IF($A36="","",IF($R36="","à confirmer",IF($P36&lt;&gt;"","partiel","confirmé")))</f>
        <v>partiel</v>
      </c>
      <c r="P36" s="38" t="s">
        <v>232</v>
      </c>
      <c r="Q36" s="36" t="s">
        <v>55</v>
      </c>
      <c r="R36" s="38" t="s">
        <v>233</v>
      </c>
      <c r="S36" s="38" t="s">
        <v>234</v>
      </c>
    </row>
    <row r="37" customFormat="false" ht="30" hidden="false" customHeight="true" outlineLevel="0" collapsed="false">
      <c r="A37" s="31" t="s">
        <v>235</v>
      </c>
      <c r="B37" s="31" t="s">
        <v>236</v>
      </c>
      <c r="C37" s="31" t="s">
        <v>169</v>
      </c>
      <c r="D37" s="31"/>
      <c r="E37" s="31" t="s">
        <v>23</v>
      </c>
      <c r="F37" s="32"/>
      <c r="G37" s="31"/>
      <c r="H37" s="32"/>
      <c r="I37" s="31" t="s">
        <v>177</v>
      </c>
      <c r="J37" s="31" t="s">
        <v>180</v>
      </c>
      <c r="K37" s="31"/>
      <c r="L37" s="31" t="s">
        <v>237</v>
      </c>
      <c r="M37" s="31" t="n">
        <v>3</v>
      </c>
      <c r="N37" s="31" t="s">
        <v>43</v>
      </c>
      <c r="O37" s="31" t="str">
        <f aca="false">IF($A37="","",IF($R37="","à confirmer",IF($P37&lt;&gt;"","partiel","confirmé")))</f>
        <v>partiel</v>
      </c>
      <c r="P37" s="33" t="s">
        <v>238</v>
      </c>
      <c r="Q37" s="17"/>
      <c r="R37" s="33" t="s">
        <v>239</v>
      </c>
      <c r="S37" s="33" t="s">
        <v>240</v>
      </c>
    </row>
    <row r="38" customFormat="false" ht="30" hidden="false" customHeight="true" outlineLevel="0" collapsed="false">
      <c r="A38" s="31" t="s">
        <v>241</v>
      </c>
      <c r="B38" s="31" t="s">
        <v>117</v>
      </c>
      <c r="C38" s="31" t="s">
        <v>169</v>
      </c>
      <c r="D38" s="31"/>
      <c r="E38" s="31" t="s">
        <v>23</v>
      </c>
      <c r="F38" s="32"/>
      <c r="G38" s="31"/>
      <c r="H38" s="32"/>
      <c r="I38" s="31" t="s">
        <v>177</v>
      </c>
      <c r="J38" s="31" t="s">
        <v>180</v>
      </c>
      <c r="K38" s="31"/>
      <c r="L38" s="31" t="s">
        <v>242</v>
      </c>
      <c r="M38" s="31" t="n">
        <v>3</v>
      </c>
      <c r="N38" s="31" t="s">
        <v>43</v>
      </c>
      <c r="O38" s="31" t="str">
        <f aca="false">IF($A38="","",IF($R38="","à confirmer",IF($P38&lt;&gt;"","partiel","confirmé")))</f>
        <v>partiel</v>
      </c>
      <c r="P38" s="33" t="s">
        <v>243</v>
      </c>
      <c r="Q38" s="17"/>
      <c r="R38" s="33" t="s">
        <v>244</v>
      </c>
      <c r="S38" s="33" t="s">
        <v>245</v>
      </c>
    </row>
    <row r="39" customFormat="false" ht="81.75" hidden="false" customHeight="true" outlineLevel="0" collapsed="false">
      <c r="A39" s="17" t="s">
        <v>41</v>
      </c>
      <c r="B39" s="17" t="s">
        <v>246</v>
      </c>
      <c r="C39" s="17" t="s">
        <v>21</v>
      </c>
      <c r="D39" s="17" t="s">
        <v>169</v>
      </c>
      <c r="E39" s="17" t="s">
        <v>23</v>
      </c>
      <c r="F39" s="19" t="s">
        <v>247</v>
      </c>
      <c r="G39" s="17" t="s">
        <v>248</v>
      </c>
      <c r="H39" s="19" t="s">
        <v>106</v>
      </c>
      <c r="I39" s="17" t="s">
        <v>215</v>
      </c>
      <c r="J39" s="17" t="s">
        <v>219</v>
      </c>
      <c r="K39" s="17" t="s">
        <v>40</v>
      </c>
      <c r="L39" s="17" t="s">
        <v>249</v>
      </c>
      <c r="M39" s="17" t="n">
        <v>2</v>
      </c>
      <c r="N39" s="17" t="s">
        <v>43</v>
      </c>
      <c r="O39" s="17" t="str">
        <f aca="false">IF($A39="","",IF($R39="","à confirmer",IF($P39&lt;&gt;"","partiel","confirmé")))</f>
        <v>partiel</v>
      </c>
      <c r="P39" s="40" t="s">
        <v>250</v>
      </c>
      <c r="Q39" s="17" t="s">
        <v>55</v>
      </c>
      <c r="R39" s="40" t="s">
        <v>251</v>
      </c>
      <c r="S39" s="40" t="s">
        <v>252</v>
      </c>
    </row>
    <row r="40" customFormat="false" ht="55.5" hidden="false" customHeight="true" outlineLevel="0" collapsed="false">
      <c r="A40" s="41" t="s">
        <v>253</v>
      </c>
      <c r="B40" s="41" t="s">
        <v>254</v>
      </c>
      <c r="C40" s="41" t="s">
        <v>169</v>
      </c>
      <c r="D40" s="41"/>
      <c r="E40" s="41" t="s">
        <v>23</v>
      </c>
      <c r="F40" s="42" t="s">
        <v>255</v>
      </c>
      <c r="G40" s="41" t="s">
        <v>227</v>
      </c>
      <c r="H40" s="42" t="s">
        <v>256</v>
      </c>
      <c r="I40" s="41" t="s">
        <v>215</v>
      </c>
      <c r="J40" s="41" t="s">
        <v>219</v>
      </c>
      <c r="K40" s="41"/>
      <c r="L40" s="41" t="s">
        <v>257</v>
      </c>
      <c r="M40" s="41" t="n">
        <v>2</v>
      </c>
      <c r="N40" s="41" t="s">
        <v>43</v>
      </c>
      <c r="O40" s="41" t="str">
        <f aca="false">IF($A40="","",IF($R40="","à confirmer",IF($P40&lt;&gt;"","partiel","confirmé")))</f>
        <v>partiel</v>
      </c>
      <c r="P40" s="43" t="s">
        <v>258</v>
      </c>
      <c r="Q40" s="41" t="s">
        <v>55</v>
      </c>
      <c r="R40" s="43" t="s">
        <v>259</v>
      </c>
      <c r="S40" s="43" t="s">
        <v>260</v>
      </c>
    </row>
    <row r="41" customFormat="false" ht="42.75" hidden="false" customHeight="true" outlineLevel="0" collapsed="false">
      <c r="A41" s="31" t="s">
        <v>261</v>
      </c>
      <c r="B41" s="31" t="s">
        <v>117</v>
      </c>
      <c r="C41" s="31" t="s">
        <v>169</v>
      </c>
      <c r="D41" s="31"/>
      <c r="E41" s="31" t="s">
        <v>23</v>
      </c>
      <c r="F41" s="32" t="s">
        <v>262</v>
      </c>
      <c r="G41" s="31"/>
      <c r="H41" s="32" t="s">
        <v>141</v>
      </c>
      <c r="I41" s="31" t="s">
        <v>215</v>
      </c>
      <c r="J41" s="31" t="s">
        <v>219</v>
      </c>
      <c r="K41" s="31"/>
      <c r="L41" s="31" t="s">
        <v>263</v>
      </c>
      <c r="M41" s="31" t="n">
        <v>2</v>
      </c>
      <c r="N41" s="31" t="s">
        <v>43</v>
      </c>
      <c r="O41" s="31" t="str">
        <f aca="false">IF($A41="","",IF($R41="","à confirmer",IF($P41&lt;&gt;"","partiel","confirmé")))</f>
        <v>partiel</v>
      </c>
      <c r="P41" s="33" t="s">
        <v>264</v>
      </c>
      <c r="Q41" s="34" t="s">
        <v>55</v>
      </c>
      <c r="R41" s="33" t="s">
        <v>265</v>
      </c>
      <c r="S41" s="33" t="s">
        <v>266</v>
      </c>
    </row>
    <row r="42" customFormat="false" ht="42.75" hidden="false" customHeight="true" outlineLevel="0" collapsed="false">
      <c r="A42" s="14" t="s">
        <v>267</v>
      </c>
      <c r="B42" s="14" t="s">
        <v>268</v>
      </c>
      <c r="C42" s="14" t="s">
        <v>169</v>
      </c>
      <c r="D42" s="14"/>
      <c r="E42" s="14" t="s">
        <v>23</v>
      </c>
      <c r="F42" s="15" t="s">
        <v>269</v>
      </c>
      <c r="G42" s="14" t="s">
        <v>270</v>
      </c>
      <c r="H42" s="15"/>
      <c r="I42" s="14" t="s">
        <v>215</v>
      </c>
      <c r="J42" s="14" t="s">
        <v>219</v>
      </c>
      <c r="K42" s="14"/>
      <c r="L42" s="14" t="s">
        <v>271</v>
      </c>
      <c r="M42" s="14" t="s">
        <v>272</v>
      </c>
      <c r="N42" s="14" t="s">
        <v>43</v>
      </c>
      <c r="O42" s="14" t="str">
        <f aca="false">IF($A42="","",IF($R42="","à confirmer",IF($P42&lt;&gt;"","partiel","confirmé")))</f>
        <v>partiel</v>
      </c>
      <c r="P42" s="16" t="s">
        <v>273</v>
      </c>
      <c r="Q42" s="17"/>
      <c r="R42" s="16" t="s">
        <v>274</v>
      </c>
      <c r="S42" s="16"/>
    </row>
    <row r="43" customFormat="false" ht="30" hidden="false" customHeight="true" outlineLevel="0" collapsed="false">
      <c r="A43" s="44" t="s">
        <v>229</v>
      </c>
      <c r="B43" s="44" t="s">
        <v>275</v>
      </c>
      <c r="C43" s="44" t="s">
        <v>225</v>
      </c>
      <c r="D43" s="44"/>
      <c r="E43" s="44" t="s">
        <v>36</v>
      </c>
      <c r="F43" s="45" t="s">
        <v>276</v>
      </c>
      <c r="G43" s="44"/>
      <c r="H43" s="45"/>
      <c r="I43" s="44"/>
      <c r="J43" s="44"/>
      <c r="K43" s="44" t="s">
        <v>230</v>
      </c>
      <c r="L43" s="44"/>
      <c r="M43" s="44" t="n">
        <v>4</v>
      </c>
      <c r="N43" s="44" t="s">
        <v>43</v>
      </c>
      <c r="O43" s="44" t="str">
        <f aca="false">IF($A43="","",IF($R43="","à confirmer",IF($P43&lt;&gt;"","partiel","confirmé")))</f>
        <v>partiel</v>
      </c>
      <c r="P43" s="46" t="s">
        <v>277</v>
      </c>
      <c r="Q43" s="17"/>
      <c r="R43" s="46" t="s">
        <v>278</v>
      </c>
      <c r="S43" s="46" t="s">
        <v>279</v>
      </c>
    </row>
    <row r="44" customFormat="false" ht="42.75" hidden="false" customHeight="true" outlineLevel="0" collapsed="false">
      <c r="A44" s="44" t="s">
        <v>230</v>
      </c>
      <c r="B44" s="44" t="s">
        <v>280</v>
      </c>
      <c r="C44" s="44" t="s">
        <v>225</v>
      </c>
      <c r="D44" s="44" t="s">
        <v>281</v>
      </c>
      <c r="E44" s="44" t="s">
        <v>23</v>
      </c>
      <c r="F44" s="45" t="s">
        <v>282</v>
      </c>
      <c r="G44" s="44"/>
      <c r="H44" s="45" t="s">
        <v>283</v>
      </c>
      <c r="I44" s="44"/>
      <c r="J44" s="44"/>
      <c r="K44" s="44" t="s">
        <v>229</v>
      </c>
      <c r="L44" s="44"/>
      <c r="M44" s="44" t="n">
        <v>4</v>
      </c>
      <c r="N44" s="44" t="s">
        <v>43</v>
      </c>
      <c r="O44" s="44" t="str">
        <f aca="false">IF($A44="","",IF($R44="","à confirmer",IF($P44&lt;&gt;"","partiel","confirmé")))</f>
        <v>partiel</v>
      </c>
      <c r="P44" s="46" t="s">
        <v>284</v>
      </c>
      <c r="Q44" s="17"/>
      <c r="R44" s="46" t="s">
        <v>285</v>
      </c>
      <c r="S44" s="46" t="s">
        <v>286</v>
      </c>
    </row>
    <row r="45" customFormat="false" ht="42.75" hidden="false" customHeight="true" outlineLevel="0" collapsed="false">
      <c r="A45" s="44" t="s">
        <v>287</v>
      </c>
      <c r="B45" s="44" t="s">
        <v>288</v>
      </c>
      <c r="C45" s="44" t="s">
        <v>225</v>
      </c>
      <c r="D45" s="44" t="s">
        <v>225</v>
      </c>
      <c r="E45" s="44" t="s">
        <v>23</v>
      </c>
      <c r="F45" s="45"/>
      <c r="G45" s="44"/>
      <c r="H45" s="45"/>
      <c r="I45" s="44" t="s">
        <v>229</v>
      </c>
      <c r="J45" s="44" t="s">
        <v>230</v>
      </c>
      <c r="K45" s="44"/>
      <c r="L45" s="44" t="s">
        <v>289</v>
      </c>
      <c r="M45" s="44" t="n">
        <v>3</v>
      </c>
      <c r="N45" s="44" t="s">
        <v>43</v>
      </c>
      <c r="O45" s="44" t="str">
        <f aca="false">IF($A45="","",IF($R45="","à confirmer",IF($P45&lt;&gt;"","partiel","confirmé")))</f>
        <v>à confirmer</v>
      </c>
      <c r="P45" s="46" t="s">
        <v>290</v>
      </c>
      <c r="Q45" s="36" t="s">
        <v>55</v>
      </c>
      <c r="R45" s="46"/>
      <c r="S45" s="46" t="s">
        <v>291</v>
      </c>
    </row>
    <row r="46" customFormat="false" ht="30" hidden="false" customHeight="true" outlineLevel="0" collapsed="false">
      <c r="A46" s="44" t="s">
        <v>292</v>
      </c>
      <c r="B46" s="44" t="s">
        <v>117</v>
      </c>
      <c r="C46" s="44" t="s">
        <v>225</v>
      </c>
      <c r="D46" s="44" t="s">
        <v>225</v>
      </c>
      <c r="E46" s="44" t="s">
        <v>23</v>
      </c>
      <c r="F46" s="45"/>
      <c r="G46" s="44"/>
      <c r="H46" s="45"/>
      <c r="I46" s="44" t="s">
        <v>229</v>
      </c>
      <c r="J46" s="44" t="s">
        <v>230</v>
      </c>
      <c r="K46" s="44"/>
      <c r="L46" s="44" t="s">
        <v>293</v>
      </c>
      <c r="M46" s="44" t="n">
        <v>3</v>
      </c>
      <c r="N46" s="44" t="s">
        <v>43</v>
      </c>
      <c r="O46" s="44" t="str">
        <f aca="false">IF($A46="","",IF($R46="","à confirmer",IF($P46&lt;&gt;"","partiel","confirmé")))</f>
        <v>à confirmer</v>
      </c>
      <c r="P46" s="46" t="s">
        <v>294</v>
      </c>
      <c r="Q46" s="36" t="s">
        <v>55</v>
      </c>
      <c r="R46" s="46"/>
      <c r="S46" s="46" t="s">
        <v>291</v>
      </c>
    </row>
    <row r="47" customFormat="false" ht="30" hidden="false" customHeight="true" outlineLevel="0" collapsed="false">
      <c r="A47" s="14" t="s">
        <v>27</v>
      </c>
      <c r="B47" s="14" t="s">
        <v>295</v>
      </c>
      <c r="C47" s="14" t="s">
        <v>22</v>
      </c>
      <c r="D47" s="14"/>
      <c r="E47" s="14" t="s">
        <v>36</v>
      </c>
      <c r="F47" s="15"/>
      <c r="G47" s="14"/>
      <c r="H47" s="15"/>
      <c r="I47" s="14"/>
      <c r="J47" s="14"/>
      <c r="K47" s="14" t="s">
        <v>28</v>
      </c>
      <c r="L47" s="14"/>
      <c r="M47" s="14" t="n">
        <v>2</v>
      </c>
      <c r="N47" s="14" t="s">
        <v>31</v>
      </c>
      <c r="O47" s="14" t="str">
        <f aca="false">IF($A47="","",IF($R47="","à confirmer",IF($P47&lt;&gt;"","partiel","confirmé")))</f>
        <v>partiel</v>
      </c>
      <c r="P47" s="16" t="s">
        <v>296</v>
      </c>
      <c r="Q47" s="14" t="s">
        <v>73</v>
      </c>
      <c r="R47" s="16" t="s">
        <v>297</v>
      </c>
      <c r="S47" s="16"/>
    </row>
    <row r="48" customFormat="false" ht="30" hidden="false" customHeight="true" outlineLevel="0" collapsed="false">
      <c r="A48" s="14" t="s">
        <v>28</v>
      </c>
      <c r="B48" s="14" t="s">
        <v>298</v>
      </c>
      <c r="C48" s="14" t="s">
        <v>299</v>
      </c>
      <c r="D48" s="14" t="s">
        <v>299</v>
      </c>
      <c r="E48" s="14" t="s">
        <v>23</v>
      </c>
      <c r="F48" s="15"/>
      <c r="G48" s="14"/>
      <c r="H48" s="15"/>
      <c r="I48" s="14"/>
      <c r="J48" s="14"/>
      <c r="K48" s="14" t="s">
        <v>27</v>
      </c>
      <c r="L48" s="14"/>
      <c r="M48" s="14" t="n">
        <v>2</v>
      </c>
      <c r="N48" s="14" t="s">
        <v>31</v>
      </c>
      <c r="O48" s="14" t="str">
        <f aca="false">IF($A48="","",IF($R48="","à confirmer",IF($P48&lt;&gt;"","partiel","confirmé")))</f>
        <v>partiel</v>
      </c>
      <c r="P48" s="16" t="s">
        <v>300</v>
      </c>
      <c r="Q48" s="14" t="s">
        <v>55</v>
      </c>
      <c r="R48" s="16" t="s">
        <v>301</v>
      </c>
      <c r="S48" s="16"/>
    </row>
    <row r="49" customFormat="false" ht="30" hidden="false" customHeight="true" outlineLevel="0" collapsed="false">
      <c r="A49" s="47" t="s">
        <v>302</v>
      </c>
      <c r="B49" s="47" t="s">
        <v>303</v>
      </c>
      <c r="C49" s="47" t="s">
        <v>304</v>
      </c>
      <c r="D49" s="47" t="s">
        <v>22</v>
      </c>
      <c r="E49" s="47" t="s">
        <v>23</v>
      </c>
      <c r="F49" s="48"/>
      <c r="G49" s="47"/>
      <c r="H49" s="48"/>
      <c r="I49" s="47" t="s">
        <v>27</v>
      </c>
      <c r="J49" s="47" t="s">
        <v>28</v>
      </c>
      <c r="K49" s="47"/>
      <c r="L49" s="47" t="s">
        <v>305</v>
      </c>
      <c r="M49" s="47" t="n">
        <v>1</v>
      </c>
      <c r="N49" s="47" t="s">
        <v>31</v>
      </c>
      <c r="O49" s="47" t="str">
        <f aca="false">IF($A49="","",IF($R49="","à confirmer",IF($P49&lt;&gt;"","partiel","confirmé")))</f>
        <v>à confirmer</v>
      </c>
      <c r="P49" s="49" t="s">
        <v>306</v>
      </c>
      <c r="Q49" s="36" t="s">
        <v>55</v>
      </c>
      <c r="R49" s="49"/>
      <c r="S49" s="49"/>
    </row>
    <row r="50" customFormat="false" ht="30" hidden="false" customHeight="true" outlineLevel="0" collapsed="false">
      <c r="A50" s="47" t="s">
        <v>307</v>
      </c>
      <c r="B50" s="47" t="s">
        <v>308</v>
      </c>
      <c r="C50" s="47" t="s">
        <v>309</v>
      </c>
      <c r="D50" s="47" t="s">
        <v>22</v>
      </c>
      <c r="E50" s="47" t="s">
        <v>23</v>
      </c>
      <c r="F50" s="48"/>
      <c r="G50" s="47"/>
      <c r="H50" s="48"/>
      <c r="I50" s="47" t="s">
        <v>27</v>
      </c>
      <c r="J50" s="47" t="s">
        <v>28</v>
      </c>
      <c r="K50" s="47"/>
      <c r="L50" s="47" t="s">
        <v>310</v>
      </c>
      <c r="M50" s="47" t="n">
        <v>1</v>
      </c>
      <c r="N50" s="47" t="s">
        <v>31</v>
      </c>
      <c r="O50" s="47" t="str">
        <f aca="false">IF($A50="","",IF($R50="","à confirmer",IF($P50&lt;&gt;"","partiel","confirmé")))</f>
        <v>à confirmer</v>
      </c>
      <c r="P50" s="49" t="s">
        <v>306</v>
      </c>
      <c r="Q50" s="36" t="s">
        <v>55</v>
      </c>
      <c r="R50" s="49"/>
      <c r="S50" s="49"/>
    </row>
    <row r="51" customFormat="false" ht="42.75" hidden="false" customHeight="true" outlineLevel="0" collapsed="false">
      <c r="A51" s="4" t="s">
        <v>311</v>
      </c>
      <c r="B51" s="4" t="s">
        <v>312</v>
      </c>
      <c r="C51" s="4" t="s">
        <v>169</v>
      </c>
      <c r="D51" s="4"/>
      <c r="E51" s="4" t="s">
        <v>36</v>
      </c>
      <c r="F51" s="5"/>
      <c r="G51" s="4"/>
      <c r="H51" s="5"/>
      <c r="I51" s="4"/>
      <c r="J51" s="4"/>
      <c r="K51" s="4"/>
      <c r="L51" s="4"/>
      <c r="M51" s="4"/>
      <c r="N51" s="4" t="s">
        <v>313</v>
      </c>
      <c r="O51" s="4" t="str">
        <f aca="false">IF($A51="","",IF($R51="","à confirmer",IF($P51&lt;&gt;"","partiel","confirmé")))</f>
        <v>partiel</v>
      </c>
      <c r="P51" s="6" t="s">
        <v>314</v>
      </c>
      <c r="Q51" s="17" t="s">
        <v>73</v>
      </c>
      <c r="R51" s="6" t="s">
        <v>315</v>
      </c>
      <c r="S51" s="6" t="s">
        <v>316</v>
      </c>
    </row>
    <row r="52" customFormat="false" ht="30" hidden="false" customHeight="true" outlineLevel="0" collapsed="false">
      <c r="A52" s="4" t="s">
        <v>317</v>
      </c>
      <c r="B52" s="4" t="s">
        <v>318</v>
      </c>
      <c r="C52" s="4" t="s">
        <v>169</v>
      </c>
      <c r="D52" s="4" t="s">
        <v>319</v>
      </c>
      <c r="E52" s="4" t="s">
        <v>23</v>
      </c>
      <c r="F52" s="5"/>
      <c r="G52" s="4"/>
      <c r="H52" s="5"/>
      <c r="I52" s="4"/>
      <c r="J52" s="4"/>
      <c r="K52" s="4"/>
      <c r="L52" s="4"/>
      <c r="M52" s="4"/>
      <c r="N52" s="4" t="s">
        <v>313</v>
      </c>
      <c r="O52" s="4" t="str">
        <f aca="false">IF($A52="","",IF($R52="","à confirmer",IF($P52&lt;&gt;"","partiel","confirmé")))</f>
        <v>partiel</v>
      </c>
      <c r="P52" s="6" t="s">
        <v>320</v>
      </c>
      <c r="Q52" s="50" t="s">
        <v>55</v>
      </c>
      <c r="R52" s="6" t="s">
        <v>321</v>
      </c>
      <c r="S52" s="6" t="s">
        <v>322</v>
      </c>
    </row>
    <row r="53" customFormat="false" ht="15" hidden="false" customHeight="true" outlineLevel="0" collapsed="false">
      <c r="A53" s="14"/>
      <c r="B53" s="14"/>
      <c r="C53" s="14"/>
      <c r="D53" s="14"/>
      <c r="E53" s="14"/>
      <c r="F53" s="15"/>
      <c r="G53" s="14"/>
      <c r="H53" s="15"/>
      <c r="I53" s="14"/>
      <c r="J53" s="14"/>
      <c r="K53" s="14"/>
      <c r="L53" s="14"/>
      <c r="M53" s="14"/>
      <c r="N53" s="14"/>
      <c r="O53" s="14" t="str">
        <f aca="false">IF($A53="","",IF($R53="","à confirmer",IF($P53&lt;&gt;"","partiel","confirmé")))</f>
        <v/>
      </c>
      <c r="P53" s="16"/>
      <c r="Q53" s="14"/>
      <c r="R53" s="14"/>
      <c r="S53" s="16"/>
    </row>
    <row r="54" customFormat="false" ht="15" hidden="false" customHeight="true" outlineLevel="0" collapsed="false">
      <c r="A54" s="14"/>
      <c r="B54" s="14"/>
      <c r="C54" s="14"/>
      <c r="D54" s="14"/>
      <c r="E54" s="14"/>
      <c r="F54" s="15"/>
      <c r="G54" s="14"/>
      <c r="H54" s="15"/>
      <c r="I54" s="14"/>
      <c r="J54" s="14"/>
      <c r="K54" s="14"/>
      <c r="L54" s="14"/>
      <c r="M54" s="14"/>
      <c r="N54" s="14"/>
      <c r="O54" s="14" t="str">
        <f aca="false">IF($A54="","",IF($R54="","à confirmer",IF($P54&lt;&gt;"","partiel","confirmé")))</f>
        <v/>
      </c>
      <c r="P54" s="16"/>
      <c r="Q54" s="14"/>
      <c r="R54" s="14"/>
      <c r="S54" s="16"/>
    </row>
    <row r="55" customFormat="false" ht="15" hidden="false" customHeight="true" outlineLevel="0" collapsed="false">
      <c r="A55" s="14"/>
      <c r="B55" s="14"/>
      <c r="C55" s="14"/>
      <c r="D55" s="14"/>
      <c r="E55" s="14"/>
      <c r="F55" s="15"/>
      <c r="G55" s="14"/>
      <c r="H55" s="15"/>
      <c r="I55" s="14"/>
      <c r="J55" s="14"/>
      <c r="K55" s="14"/>
      <c r="L55" s="14"/>
      <c r="M55" s="14"/>
      <c r="N55" s="14"/>
      <c r="O55" s="14" t="str">
        <f aca="false">IF($A55="","",IF($R55="","à confirmer",IF($P55&lt;&gt;"","partiel","confirmé")))</f>
        <v/>
      </c>
      <c r="P55" s="16"/>
      <c r="Q55" s="14"/>
      <c r="R55" s="14"/>
      <c r="S55" s="16"/>
    </row>
    <row r="56" customFormat="false" ht="15" hidden="false" customHeight="true" outlineLevel="0" collapsed="false">
      <c r="A56" s="14"/>
      <c r="B56" s="14"/>
      <c r="C56" s="14"/>
      <c r="D56" s="14"/>
      <c r="E56" s="14"/>
      <c r="F56" s="15"/>
      <c r="G56" s="14"/>
      <c r="H56" s="15"/>
      <c r="I56" s="14"/>
      <c r="J56" s="14"/>
      <c r="K56" s="14"/>
      <c r="L56" s="14"/>
      <c r="M56" s="14"/>
      <c r="N56" s="14"/>
      <c r="O56" s="14" t="str">
        <f aca="false">IF($A56="","",IF($R56="","à confirmer",IF($P56&lt;&gt;"","partiel","confirmé")))</f>
        <v/>
      </c>
      <c r="P56" s="16"/>
      <c r="Q56" s="14"/>
      <c r="R56" s="14"/>
      <c r="S56" s="16"/>
    </row>
    <row r="57" customFormat="false" ht="15" hidden="false" customHeight="true" outlineLevel="0" collapsed="false">
      <c r="A57" s="14"/>
      <c r="B57" s="14"/>
      <c r="C57" s="14"/>
      <c r="D57" s="14"/>
      <c r="E57" s="14"/>
      <c r="F57" s="15"/>
      <c r="G57" s="14"/>
      <c r="H57" s="15"/>
      <c r="I57" s="14"/>
      <c r="J57" s="14"/>
      <c r="K57" s="14"/>
      <c r="L57" s="14"/>
      <c r="M57" s="14"/>
      <c r="N57" s="14"/>
      <c r="O57" s="14" t="str">
        <f aca="false">IF($A57="","",IF($R57="","à confirmer",IF($P57&lt;&gt;"","partiel","confirmé")))</f>
        <v/>
      </c>
      <c r="P57" s="16"/>
      <c r="Q57" s="14"/>
      <c r="R57" s="14"/>
      <c r="S57" s="16"/>
    </row>
    <row r="58" customFormat="false" ht="15" hidden="false" customHeight="true" outlineLevel="0" collapsed="false">
      <c r="A58" s="14"/>
      <c r="B58" s="14"/>
      <c r="C58" s="14"/>
      <c r="D58" s="14"/>
      <c r="E58" s="14"/>
      <c r="F58" s="15"/>
      <c r="G58" s="14"/>
      <c r="H58" s="15"/>
      <c r="I58" s="14"/>
      <c r="J58" s="14"/>
      <c r="K58" s="14"/>
      <c r="L58" s="14"/>
      <c r="M58" s="14"/>
      <c r="N58" s="14"/>
      <c r="O58" s="14" t="str">
        <f aca="false">IF($A58="","",IF($R58="","à confirmer",IF($P58&lt;&gt;"","partiel","confirmé")))</f>
        <v/>
      </c>
      <c r="P58" s="16"/>
      <c r="Q58" s="14"/>
      <c r="R58" s="14"/>
      <c r="S58" s="16"/>
    </row>
    <row r="59" customFormat="false" ht="15" hidden="false" customHeight="true" outlineLevel="0" collapsed="false">
      <c r="A59" s="14"/>
      <c r="B59" s="14"/>
      <c r="C59" s="14"/>
      <c r="D59" s="14"/>
      <c r="E59" s="14"/>
      <c r="F59" s="15"/>
      <c r="G59" s="14"/>
      <c r="H59" s="15"/>
      <c r="I59" s="14"/>
      <c r="J59" s="14"/>
      <c r="K59" s="14"/>
      <c r="L59" s="14"/>
      <c r="M59" s="14"/>
      <c r="N59" s="14"/>
      <c r="O59" s="14" t="str">
        <f aca="false">IF($A59="","",IF($R59="","à confirmer",IF($P59&lt;&gt;"","partiel","confirmé")))</f>
        <v/>
      </c>
      <c r="P59" s="16"/>
      <c r="Q59" s="14"/>
      <c r="R59" s="14"/>
      <c r="S59" s="16"/>
    </row>
    <row r="60" customFormat="false" ht="15" hidden="false" customHeight="true" outlineLevel="0" collapsed="false">
      <c r="A60" s="14"/>
      <c r="B60" s="14"/>
      <c r="C60" s="14"/>
      <c r="D60" s="14"/>
      <c r="E60" s="14"/>
      <c r="F60" s="15"/>
      <c r="G60" s="14"/>
      <c r="H60" s="15"/>
      <c r="I60" s="14"/>
      <c r="J60" s="14"/>
      <c r="K60" s="14"/>
      <c r="L60" s="14"/>
      <c r="M60" s="14"/>
      <c r="N60" s="14"/>
      <c r="O60" s="14" t="str">
        <f aca="false">IF($A60="","",IF($R60="","à confirmer",IF($P60&lt;&gt;"","partiel","confirmé")))</f>
        <v/>
      </c>
      <c r="P60" s="16"/>
      <c r="Q60" s="14"/>
      <c r="R60" s="14"/>
      <c r="S60" s="16"/>
    </row>
    <row r="61" customFormat="false" ht="15" hidden="false" customHeight="true" outlineLevel="0" collapsed="false">
      <c r="A61" s="14"/>
      <c r="B61" s="14"/>
      <c r="C61" s="14"/>
      <c r="D61" s="14"/>
      <c r="E61" s="14"/>
      <c r="F61" s="15"/>
      <c r="G61" s="14"/>
      <c r="H61" s="15"/>
      <c r="I61" s="14"/>
      <c r="J61" s="14"/>
      <c r="K61" s="14"/>
      <c r="L61" s="14"/>
      <c r="M61" s="14"/>
      <c r="N61" s="14"/>
      <c r="O61" s="14" t="str">
        <f aca="false">IF($A61="","",IF($R61="","à confirmer",IF($P61&lt;&gt;"","partiel","confirmé")))</f>
        <v/>
      </c>
      <c r="P61" s="16"/>
      <c r="Q61" s="14"/>
      <c r="R61" s="14"/>
      <c r="S61" s="16"/>
    </row>
    <row r="62" customFormat="false" ht="15" hidden="false" customHeight="true" outlineLevel="0" collapsed="false">
      <c r="A62" s="14"/>
      <c r="B62" s="14"/>
      <c r="C62" s="14"/>
      <c r="D62" s="14"/>
      <c r="E62" s="14"/>
      <c r="F62" s="15"/>
      <c r="G62" s="14"/>
      <c r="H62" s="15"/>
      <c r="I62" s="14"/>
      <c r="J62" s="14"/>
      <c r="K62" s="14"/>
      <c r="L62" s="14"/>
      <c r="M62" s="14"/>
      <c r="N62" s="14"/>
      <c r="O62" s="14" t="str">
        <f aca="false">IF($A62="","",IF($R62="","à confirmer",IF($P62&lt;&gt;"","partiel","confirmé")))</f>
        <v/>
      </c>
      <c r="P62" s="16"/>
      <c r="Q62" s="14"/>
      <c r="R62" s="14"/>
      <c r="S62" s="16"/>
    </row>
    <row r="63" customFormat="false" ht="15" hidden="false" customHeight="true" outlineLevel="0" collapsed="false">
      <c r="A63" s="14"/>
      <c r="B63" s="14"/>
      <c r="C63" s="14"/>
      <c r="D63" s="14"/>
      <c r="E63" s="14"/>
      <c r="F63" s="15"/>
      <c r="G63" s="14"/>
      <c r="H63" s="15"/>
      <c r="I63" s="14"/>
      <c r="J63" s="14"/>
      <c r="K63" s="14"/>
      <c r="L63" s="14"/>
      <c r="M63" s="14"/>
      <c r="N63" s="14"/>
      <c r="O63" s="14" t="str">
        <f aca="false">IF($A63="","",IF($R63="","à confirmer",IF($P63&lt;&gt;"","partiel","confirmé")))</f>
        <v/>
      </c>
      <c r="P63" s="16"/>
      <c r="Q63" s="14"/>
      <c r="R63" s="14"/>
      <c r="S63" s="16"/>
    </row>
    <row r="64" customFormat="false" ht="15" hidden="false" customHeight="true" outlineLevel="0" collapsed="false">
      <c r="A64" s="14"/>
      <c r="B64" s="14"/>
      <c r="C64" s="14"/>
      <c r="D64" s="14"/>
      <c r="E64" s="14"/>
      <c r="F64" s="15"/>
      <c r="G64" s="14"/>
      <c r="H64" s="15"/>
      <c r="I64" s="14"/>
      <c r="J64" s="14"/>
      <c r="K64" s="14"/>
      <c r="L64" s="14"/>
      <c r="M64" s="14"/>
      <c r="N64" s="14"/>
      <c r="O64" s="14" t="str">
        <f aca="false">IF($A64="","",IF($R64="","à confirmer",IF($P64&lt;&gt;"","partiel","confirmé")))</f>
        <v/>
      </c>
      <c r="P64" s="16"/>
      <c r="Q64" s="14"/>
      <c r="R64" s="14"/>
      <c r="S64" s="16"/>
    </row>
    <row r="65" customFormat="false" ht="15" hidden="false" customHeight="true" outlineLevel="0" collapsed="false">
      <c r="A65" s="14"/>
      <c r="B65" s="14"/>
      <c r="C65" s="14"/>
      <c r="D65" s="14"/>
      <c r="E65" s="14"/>
      <c r="F65" s="15"/>
      <c r="G65" s="14"/>
      <c r="H65" s="15"/>
      <c r="I65" s="14"/>
      <c r="J65" s="14"/>
      <c r="K65" s="14"/>
      <c r="L65" s="14"/>
      <c r="M65" s="14"/>
      <c r="N65" s="14"/>
      <c r="O65" s="14" t="str">
        <f aca="false">IF($A65="","",IF($R65="","à confirmer",IF($P65&lt;&gt;"","partiel","confirmé")))</f>
        <v/>
      </c>
      <c r="P65" s="16"/>
      <c r="Q65" s="14"/>
      <c r="R65" s="14"/>
      <c r="S65" s="16"/>
    </row>
    <row r="66" customFormat="false" ht="15" hidden="false" customHeight="true" outlineLevel="0" collapsed="false">
      <c r="A66" s="14"/>
      <c r="B66" s="14"/>
      <c r="C66" s="14"/>
      <c r="D66" s="14"/>
      <c r="E66" s="14"/>
      <c r="F66" s="15"/>
      <c r="G66" s="14"/>
      <c r="H66" s="15"/>
      <c r="I66" s="14"/>
      <c r="J66" s="14"/>
      <c r="K66" s="14"/>
      <c r="L66" s="14"/>
      <c r="M66" s="14"/>
      <c r="N66" s="14"/>
      <c r="O66" s="14" t="str">
        <f aca="false">IF($A66="","",IF($R66="","à confirmer",IF($P66&lt;&gt;"","partiel","confirmé")))</f>
        <v/>
      </c>
      <c r="P66" s="16"/>
      <c r="Q66" s="14"/>
      <c r="R66" s="14"/>
      <c r="S66" s="16"/>
    </row>
    <row r="67" customFormat="false" ht="15" hidden="false" customHeight="true" outlineLevel="0" collapsed="false">
      <c r="A67" s="14"/>
      <c r="B67" s="14"/>
      <c r="C67" s="14"/>
      <c r="D67" s="14"/>
      <c r="E67" s="14"/>
      <c r="F67" s="15"/>
      <c r="G67" s="14"/>
      <c r="H67" s="15"/>
      <c r="I67" s="14"/>
      <c r="J67" s="14"/>
      <c r="K67" s="14"/>
      <c r="L67" s="14"/>
      <c r="M67" s="14"/>
      <c r="N67" s="14"/>
      <c r="O67" s="14" t="str">
        <f aca="false">IF($A67="","",IF($R67="","à confirmer",IF($P67&lt;&gt;"","partiel","confirmé")))</f>
        <v/>
      </c>
      <c r="P67" s="16"/>
      <c r="Q67" s="14"/>
      <c r="R67" s="14"/>
      <c r="S67" s="16"/>
    </row>
    <row r="68" customFormat="false" ht="15" hidden="false" customHeight="true" outlineLevel="0" collapsed="false">
      <c r="A68" s="14"/>
      <c r="B68" s="14"/>
      <c r="C68" s="14"/>
      <c r="D68" s="14"/>
      <c r="E68" s="14"/>
      <c r="F68" s="15"/>
      <c r="G68" s="14"/>
      <c r="H68" s="15"/>
      <c r="I68" s="14"/>
      <c r="J68" s="14"/>
      <c r="K68" s="14"/>
      <c r="L68" s="14"/>
      <c r="M68" s="14"/>
      <c r="N68" s="14"/>
      <c r="O68" s="14" t="str">
        <f aca="false">IF($A68="","",IF($R68="","à confirmer",IF($P68&lt;&gt;"","partiel","confirmé")))</f>
        <v/>
      </c>
      <c r="P68" s="16"/>
      <c r="Q68" s="14"/>
      <c r="R68" s="14"/>
      <c r="S68" s="16"/>
    </row>
    <row r="69" customFormat="false" ht="15" hidden="false" customHeight="true" outlineLevel="0" collapsed="false">
      <c r="A69" s="14"/>
      <c r="B69" s="14"/>
      <c r="C69" s="14"/>
      <c r="D69" s="14"/>
      <c r="E69" s="14"/>
      <c r="F69" s="15"/>
      <c r="G69" s="14"/>
      <c r="H69" s="15"/>
      <c r="I69" s="14"/>
      <c r="J69" s="14"/>
      <c r="K69" s="14"/>
      <c r="L69" s="14"/>
      <c r="M69" s="14"/>
      <c r="N69" s="14"/>
      <c r="O69" s="14" t="str">
        <f aca="false">IF($A69="","",IF($R69="","à confirmer",IF($P69&lt;&gt;"","partiel","confirmé")))</f>
        <v/>
      </c>
      <c r="P69" s="16"/>
      <c r="Q69" s="14"/>
      <c r="R69" s="14"/>
      <c r="S69" s="16"/>
    </row>
    <row r="70" customFormat="false" ht="15" hidden="false" customHeight="true" outlineLevel="0" collapsed="false">
      <c r="A70" s="14"/>
      <c r="B70" s="14"/>
      <c r="C70" s="14"/>
      <c r="D70" s="14"/>
      <c r="E70" s="14"/>
      <c r="F70" s="15"/>
      <c r="G70" s="14"/>
      <c r="H70" s="15"/>
      <c r="I70" s="14"/>
      <c r="J70" s="14"/>
      <c r="K70" s="14"/>
      <c r="L70" s="14"/>
      <c r="M70" s="14"/>
      <c r="N70" s="14"/>
      <c r="O70" s="14" t="str">
        <f aca="false">IF($A70="","",IF($R70="","à confirmer",IF($P70&lt;&gt;"","partiel","confirmé")))</f>
        <v/>
      </c>
      <c r="P70" s="16"/>
      <c r="Q70" s="14"/>
      <c r="R70" s="14"/>
      <c r="S70" s="16"/>
    </row>
    <row r="71" customFormat="false" ht="15" hidden="false" customHeight="true" outlineLevel="0" collapsed="false">
      <c r="A71" s="14"/>
      <c r="B71" s="14"/>
      <c r="C71" s="14"/>
      <c r="D71" s="14"/>
      <c r="E71" s="14"/>
      <c r="F71" s="15"/>
      <c r="G71" s="14"/>
      <c r="H71" s="15"/>
      <c r="I71" s="14"/>
      <c r="J71" s="14"/>
      <c r="K71" s="14"/>
      <c r="L71" s="14"/>
      <c r="M71" s="14"/>
      <c r="N71" s="14"/>
      <c r="O71" s="14" t="str">
        <f aca="false">IF($A71="","",IF($R71="","à confirmer",IF($P71&lt;&gt;"","partiel","confirmé")))</f>
        <v/>
      </c>
      <c r="P71" s="16"/>
      <c r="Q71" s="14"/>
      <c r="R71" s="14"/>
      <c r="S71" s="16"/>
    </row>
    <row r="72" customFormat="false" ht="15" hidden="false" customHeight="true" outlineLevel="0" collapsed="false">
      <c r="A72" s="14"/>
      <c r="B72" s="14"/>
      <c r="C72" s="14"/>
      <c r="D72" s="14"/>
      <c r="E72" s="14"/>
      <c r="F72" s="15"/>
      <c r="G72" s="14"/>
      <c r="H72" s="15"/>
      <c r="I72" s="14"/>
      <c r="J72" s="14"/>
      <c r="K72" s="14"/>
      <c r="L72" s="14"/>
      <c r="M72" s="14"/>
      <c r="N72" s="14"/>
      <c r="O72" s="14" t="str">
        <f aca="false">IF($A72="","",IF($R72="","à confirmer",IF($P72&lt;&gt;"","partiel","confirmé")))</f>
        <v/>
      </c>
      <c r="P72" s="16"/>
      <c r="Q72" s="14"/>
      <c r="R72" s="14"/>
      <c r="S72" s="16"/>
    </row>
    <row r="73" customFormat="false" ht="15" hidden="false" customHeight="true" outlineLevel="0" collapsed="false">
      <c r="A73" s="14"/>
      <c r="B73" s="14"/>
      <c r="C73" s="14"/>
      <c r="D73" s="14"/>
      <c r="E73" s="14"/>
      <c r="F73" s="15"/>
      <c r="G73" s="14"/>
      <c r="H73" s="15"/>
      <c r="I73" s="14"/>
      <c r="J73" s="14"/>
      <c r="K73" s="14"/>
      <c r="L73" s="14"/>
      <c r="M73" s="14"/>
      <c r="N73" s="14"/>
      <c r="O73" s="14" t="str">
        <f aca="false">IF($A73="","",IF($R73="","à confirmer",IF($P73&lt;&gt;"","partiel","confirmé")))</f>
        <v/>
      </c>
      <c r="P73" s="16"/>
      <c r="Q73" s="14"/>
      <c r="R73" s="14"/>
      <c r="S73" s="16"/>
    </row>
    <row r="74" customFormat="false" ht="15" hidden="false" customHeight="true" outlineLevel="0" collapsed="false">
      <c r="A74" s="14"/>
      <c r="B74" s="14"/>
      <c r="C74" s="14"/>
      <c r="D74" s="14"/>
      <c r="E74" s="14"/>
      <c r="F74" s="15"/>
      <c r="G74" s="14"/>
      <c r="H74" s="15"/>
      <c r="I74" s="14"/>
      <c r="J74" s="14"/>
      <c r="K74" s="14"/>
      <c r="L74" s="14"/>
      <c r="M74" s="14"/>
      <c r="N74" s="14"/>
      <c r="O74" s="14" t="str">
        <f aca="false">IF($A74="","",IF($R74="","à confirmer",IF($P74&lt;&gt;"","partiel","confirmé")))</f>
        <v/>
      </c>
      <c r="P74" s="16"/>
      <c r="Q74" s="14"/>
      <c r="R74" s="14"/>
      <c r="S74" s="16"/>
    </row>
    <row r="75" customFormat="false" ht="15" hidden="false" customHeight="true" outlineLevel="0" collapsed="false">
      <c r="A75" s="14"/>
      <c r="B75" s="14"/>
      <c r="C75" s="14"/>
      <c r="D75" s="14"/>
      <c r="E75" s="14"/>
      <c r="F75" s="15"/>
      <c r="G75" s="14"/>
      <c r="H75" s="15"/>
      <c r="I75" s="14"/>
      <c r="J75" s="14"/>
      <c r="K75" s="14"/>
      <c r="L75" s="14"/>
      <c r="M75" s="14"/>
      <c r="N75" s="14"/>
      <c r="O75" s="14" t="str">
        <f aca="false">IF($A75="","",IF($R75="","à confirmer",IF($P75&lt;&gt;"","partiel","confirmé")))</f>
        <v/>
      </c>
      <c r="P75" s="16"/>
      <c r="Q75" s="14"/>
      <c r="R75" s="14"/>
      <c r="S75" s="16"/>
    </row>
    <row r="76" customFormat="false" ht="15" hidden="false" customHeight="true" outlineLevel="0" collapsed="false">
      <c r="A76" s="14"/>
      <c r="B76" s="14"/>
      <c r="C76" s="14"/>
      <c r="D76" s="14"/>
      <c r="E76" s="14"/>
      <c r="F76" s="15"/>
      <c r="G76" s="14"/>
      <c r="H76" s="15"/>
      <c r="I76" s="14"/>
      <c r="J76" s="14"/>
      <c r="K76" s="14"/>
      <c r="L76" s="14"/>
      <c r="M76" s="14"/>
      <c r="N76" s="14"/>
      <c r="O76" s="14" t="str">
        <f aca="false">IF($A76="","",IF($R76="","à confirmer",IF($P76&lt;&gt;"","partiel","confirmé")))</f>
        <v/>
      </c>
      <c r="P76" s="16"/>
      <c r="Q76" s="14"/>
      <c r="R76" s="14"/>
      <c r="S76" s="16"/>
    </row>
    <row r="77" customFormat="false" ht="15" hidden="false" customHeight="true" outlineLevel="0" collapsed="false">
      <c r="A77" s="14"/>
      <c r="B77" s="14"/>
      <c r="C77" s="14"/>
      <c r="D77" s="14"/>
      <c r="E77" s="14"/>
      <c r="F77" s="15"/>
      <c r="G77" s="14"/>
      <c r="H77" s="15"/>
      <c r="I77" s="14"/>
      <c r="J77" s="14"/>
      <c r="K77" s="14"/>
      <c r="L77" s="14"/>
      <c r="M77" s="14"/>
      <c r="N77" s="14"/>
      <c r="O77" s="14" t="str">
        <f aca="false">IF($A77="","",IF($R77="","à confirmer",IF($P77&lt;&gt;"","partiel","confirmé")))</f>
        <v/>
      </c>
      <c r="P77" s="16"/>
      <c r="Q77" s="14"/>
      <c r="R77" s="14"/>
      <c r="S77" s="16"/>
    </row>
    <row r="78" customFormat="false" ht="15" hidden="false" customHeight="true" outlineLevel="0" collapsed="false">
      <c r="A78" s="14"/>
      <c r="B78" s="14"/>
      <c r="C78" s="14"/>
      <c r="D78" s="14"/>
      <c r="E78" s="14"/>
      <c r="F78" s="15"/>
      <c r="G78" s="14"/>
      <c r="H78" s="15"/>
      <c r="I78" s="14"/>
      <c r="J78" s="14"/>
      <c r="K78" s="14"/>
      <c r="L78" s="14"/>
      <c r="M78" s="14"/>
      <c r="N78" s="14"/>
      <c r="O78" s="14" t="str">
        <f aca="false">IF($A78="","",IF($R78="","à confirmer",IF($P78&lt;&gt;"","partiel","confirmé")))</f>
        <v/>
      </c>
      <c r="P78" s="16"/>
      <c r="Q78" s="14"/>
      <c r="R78" s="14"/>
      <c r="S78" s="16"/>
    </row>
    <row r="79" customFormat="false" ht="15" hidden="false" customHeight="true" outlineLevel="0" collapsed="false">
      <c r="A79" s="14"/>
      <c r="B79" s="14"/>
      <c r="C79" s="14"/>
      <c r="D79" s="14"/>
      <c r="E79" s="14"/>
      <c r="F79" s="15"/>
      <c r="G79" s="14"/>
      <c r="H79" s="15"/>
      <c r="I79" s="14"/>
      <c r="J79" s="14"/>
      <c r="K79" s="14"/>
      <c r="L79" s="14"/>
      <c r="M79" s="14"/>
      <c r="N79" s="14"/>
      <c r="O79" s="14" t="str">
        <f aca="false">IF($A79="","",IF($R79="","à confirmer",IF($P79&lt;&gt;"","partiel","confirmé")))</f>
        <v/>
      </c>
      <c r="P79" s="16"/>
      <c r="Q79" s="14"/>
      <c r="R79" s="14"/>
      <c r="S79" s="16"/>
    </row>
    <row r="80" customFormat="false" ht="15" hidden="false" customHeight="true" outlineLevel="0" collapsed="false">
      <c r="A80" s="14"/>
      <c r="B80" s="14"/>
      <c r="C80" s="14"/>
      <c r="D80" s="14"/>
      <c r="E80" s="14"/>
      <c r="F80" s="15"/>
      <c r="G80" s="14"/>
      <c r="H80" s="15"/>
      <c r="I80" s="14"/>
      <c r="J80" s="14"/>
      <c r="K80" s="14"/>
      <c r="L80" s="14"/>
      <c r="M80" s="14"/>
      <c r="N80" s="14"/>
      <c r="O80" s="14" t="str">
        <f aca="false">IF($A80="","",IF($R80="","à confirmer",IF($P80&lt;&gt;"","partiel","confirmé")))</f>
        <v/>
      </c>
      <c r="P80" s="16"/>
      <c r="Q80" s="14"/>
      <c r="R80" s="14"/>
      <c r="S80" s="16"/>
    </row>
    <row r="81" customFormat="false" ht="15" hidden="false" customHeight="true" outlineLevel="0" collapsed="false">
      <c r="A81" s="14"/>
      <c r="B81" s="14"/>
      <c r="C81" s="14"/>
      <c r="D81" s="14"/>
      <c r="E81" s="14"/>
      <c r="F81" s="15"/>
      <c r="G81" s="14"/>
      <c r="H81" s="15"/>
      <c r="I81" s="14"/>
      <c r="J81" s="14"/>
      <c r="K81" s="14"/>
      <c r="L81" s="14"/>
      <c r="M81" s="14"/>
      <c r="N81" s="14"/>
      <c r="O81" s="14" t="str">
        <f aca="false">IF($A81="","",IF($R81="","à confirmer",IF($P81&lt;&gt;"","partiel","confirmé")))</f>
        <v/>
      </c>
      <c r="P81" s="16"/>
      <c r="Q81" s="14"/>
      <c r="R81" s="14"/>
      <c r="S81" s="16"/>
    </row>
    <row r="82" customFormat="false" ht="15" hidden="false" customHeight="true" outlineLevel="0" collapsed="false">
      <c r="A82" s="14"/>
      <c r="B82" s="14"/>
      <c r="C82" s="14"/>
      <c r="D82" s="14"/>
      <c r="E82" s="14"/>
      <c r="F82" s="15"/>
      <c r="G82" s="14"/>
      <c r="H82" s="15"/>
      <c r="I82" s="14"/>
      <c r="J82" s="14"/>
      <c r="K82" s="14"/>
      <c r="L82" s="14"/>
      <c r="M82" s="14"/>
      <c r="N82" s="14"/>
      <c r="O82" s="14" t="str">
        <f aca="false">IF($A82="","",IF($R82="","à confirmer",IF($P82&lt;&gt;"","partiel","confirmé")))</f>
        <v/>
      </c>
      <c r="P82" s="16"/>
      <c r="Q82" s="14"/>
      <c r="R82" s="14"/>
      <c r="S82" s="16"/>
    </row>
    <row r="83" customFormat="false" ht="15" hidden="false" customHeight="true" outlineLevel="0" collapsed="false">
      <c r="A83" s="14"/>
      <c r="B83" s="14"/>
      <c r="C83" s="14"/>
      <c r="D83" s="14"/>
      <c r="E83" s="14"/>
      <c r="F83" s="15"/>
      <c r="G83" s="14"/>
      <c r="H83" s="15"/>
      <c r="I83" s="14"/>
      <c r="J83" s="14"/>
      <c r="K83" s="14"/>
      <c r="L83" s="14"/>
      <c r="M83" s="14"/>
      <c r="N83" s="14"/>
      <c r="O83" s="14" t="str">
        <f aca="false">IF($A83="","",IF($R83="","à confirmer",IF($P83&lt;&gt;"","partiel","confirmé")))</f>
        <v/>
      </c>
      <c r="P83" s="16"/>
      <c r="Q83" s="14"/>
      <c r="R83" s="14"/>
      <c r="S83" s="16"/>
    </row>
    <row r="84" customFormat="false" ht="15" hidden="false" customHeight="true" outlineLevel="0" collapsed="false">
      <c r="A84" s="14"/>
      <c r="B84" s="14"/>
      <c r="C84" s="14"/>
      <c r="D84" s="14"/>
      <c r="E84" s="14"/>
      <c r="F84" s="15"/>
      <c r="G84" s="14"/>
      <c r="H84" s="15"/>
      <c r="I84" s="14"/>
      <c r="J84" s="14"/>
      <c r="K84" s="14"/>
      <c r="L84" s="14"/>
      <c r="M84" s="14"/>
      <c r="N84" s="14"/>
      <c r="O84" s="14" t="str">
        <f aca="false">IF($A84="","",IF($R84="","à confirmer",IF($P84&lt;&gt;"","partiel","confirmé")))</f>
        <v/>
      </c>
      <c r="P84" s="16"/>
      <c r="Q84" s="14"/>
      <c r="R84" s="14"/>
      <c r="S84" s="16"/>
    </row>
    <row r="85" customFormat="false" ht="15" hidden="false" customHeight="true" outlineLevel="0" collapsed="false">
      <c r="A85" s="14"/>
      <c r="B85" s="14"/>
      <c r="C85" s="14"/>
      <c r="D85" s="14"/>
      <c r="E85" s="14"/>
      <c r="F85" s="15"/>
      <c r="G85" s="14"/>
      <c r="H85" s="15"/>
      <c r="I85" s="14"/>
      <c r="J85" s="14"/>
      <c r="K85" s="14"/>
      <c r="L85" s="14"/>
      <c r="M85" s="14"/>
      <c r="N85" s="14"/>
      <c r="O85" s="14" t="str">
        <f aca="false">IF($A85="","",IF($R85="","à confirmer",IF($P85&lt;&gt;"","partiel","confirmé")))</f>
        <v/>
      </c>
      <c r="P85" s="16"/>
      <c r="Q85" s="14"/>
      <c r="R85" s="14"/>
      <c r="S85" s="16"/>
    </row>
    <row r="86" customFormat="false" ht="15" hidden="false" customHeight="true" outlineLevel="0" collapsed="false">
      <c r="A86" s="14"/>
      <c r="B86" s="14"/>
      <c r="C86" s="14"/>
      <c r="D86" s="14"/>
      <c r="E86" s="14"/>
      <c r="F86" s="15"/>
      <c r="G86" s="14"/>
      <c r="H86" s="15"/>
      <c r="I86" s="14"/>
      <c r="J86" s="14"/>
      <c r="K86" s="14"/>
      <c r="L86" s="14"/>
      <c r="M86" s="14"/>
      <c r="N86" s="14"/>
      <c r="O86" s="14" t="str">
        <f aca="false">IF($A86="","",IF($R86="","à confirmer",IF($P86&lt;&gt;"","partiel","confirmé")))</f>
        <v/>
      </c>
      <c r="P86" s="16"/>
      <c r="Q86" s="14"/>
      <c r="R86" s="14"/>
      <c r="S86" s="16"/>
    </row>
    <row r="87" customFormat="false" ht="15" hidden="false" customHeight="true" outlineLevel="0" collapsed="false">
      <c r="A87" s="14"/>
      <c r="B87" s="14"/>
      <c r="C87" s="14"/>
      <c r="D87" s="14"/>
      <c r="E87" s="14"/>
      <c r="F87" s="15"/>
      <c r="G87" s="14"/>
      <c r="H87" s="15"/>
      <c r="I87" s="14"/>
      <c r="J87" s="14"/>
      <c r="K87" s="14"/>
      <c r="L87" s="14"/>
      <c r="M87" s="14"/>
      <c r="N87" s="14"/>
      <c r="O87" s="14" t="str">
        <f aca="false">IF($A87="","",IF($R87="","à confirmer",IF($P87&lt;&gt;"","partiel","confirmé")))</f>
        <v/>
      </c>
      <c r="P87" s="16"/>
      <c r="Q87" s="14"/>
      <c r="R87" s="14"/>
      <c r="S87" s="16"/>
    </row>
    <row r="88" customFormat="false" ht="15" hidden="false" customHeight="true" outlineLevel="0" collapsed="false">
      <c r="A88" s="14"/>
      <c r="B88" s="14"/>
      <c r="C88" s="14"/>
      <c r="D88" s="14"/>
      <c r="E88" s="14"/>
      <c r="F88" s="15"/>
      <c r="G88" s="14"/>
      <c r="H88" s="15"/>
      <c r="I88" s="14"/>
      <c r="J88" s="14"/>
      <c r="K88" s="14"/>
      <c r="L88" s="14"/>
      <c r="M88" s="14"/>
      <c r="N88" s="14"/>
      <c r="O88" s="14" t="str">
        <f aca="false">IF($A88="","",IF($R88="","à confirmer",IF($P88&lt;&gt;"","partiel","confirmé")))</f>
        <v/>
      </c>
      <c r="P88" s="16"/>
      <c r="Q88" s="14"/>
      <c r="R88" s="14"/>
      <c r="S88" s="16"/>
    </row>
    <row r="89" customFormat="false" ht="15" hidden="false" customHeight="true" outlineLevel="0" collapsed="false">
      <c r="A89" s="14"/>
      <c r="B89" s="14"/>
      <c r="C89" s="14"/>
      <c r="D89" s="14"/>
      <c r="E89" s="14"/>
      <c r="F89" s="15"/>
      <c r="G89" s="14"/>
      <c r="H89" s="15"/>
      <c r="I89" s="14"/>
      <c r="J89" s="14"/>
      <c r="K89" s="14"/>
      <c r="L89" s="14"/>
      <c r="M89" s="14"/>
      <c r="N89" s="14"/>
      <c r="O89" s="14" t="str">
        <f aca="false">IF($A89="","",IF($R89="","à confirmer",IF($P89&lt;&gt;"","partiel","confirmé")))</f>
        <v/>
      </c>
      <c r="P89" s="16"/>
      <c r="Q89" s="14"/>
      <c r="R89" s="14"/>
      <c r="S89" s="16"/>
    </row>
    <row r="90" customFormat="false" ht="15" hidden="false" customHeight="true" outlineLevel="0" collapsed="false">
      <c r="A90" s="14"/>
      <c r="B90" s="14"/>
      <c r="C90" s="14"/>
      <c r="D90" s="14"/>
      <c r="E90" s="14"/>
      <c r="F90" s="15"/>
      <c r="G90" s="14"/>
      <c r="H90" s="15"/>
      <c r="I90" s="14"/>
      <c r="J90" s="14"/>
      <c r="K90" s="14"/>
      <c r="L90" s="14"/>
      <c r="M90" s="14"/>
      <c r="N90" s="14"/>
      <c r="O90" s="14" t="str">
        <f aca="false">IF($A90="","",IF($R90="","à confirmer",IF($P90&lt;&gt;"","partiel","confirmé")))</f>
        <v/>
      </c>
      <c r="P90" s="16"/>
      <c r="Q90" s="14"/>
      <c r="R90" s="14"/>
      <c r="S90" s="16"/>
    </row>
    <row r="91" customFormat="false" ht="15" hidden="false" customHeight="true" outlineLevel="0" collapsed="false">
      <c r="A91" s="14"/>
      <c r="B91" s="14"/>
      <c r="C91" s="14"/>
      <c r="D91" s="14"/>
      <c r="E91" s="14"/>
      <c r="F91" s="15"/>
      <c r="G91" s="14"/>
      <c r="H91" s="15"/>
      <c r="I91" s="14"/>
      <c r="J91" s="14"/>
      <c r="K91" s="14"/>
      <c r="L91" s="14"/>
      <c r="M91" s="14"/>
      <c r="N91" s="14"/>
      <c r="O91" s="14" t="str">
        <f aca="false">IF($A91="","",IF($R91="","à confirmer",IF($P91&lt;&gt;"","partiel","confirmé")))</f>
        <v/>
      </c>
      <c r="P91" s="16"/>
      <c r="Q91" s="14"/>
      <c r="R91" s="14"/>
      <c r="S91" s="16"/>
    </row>
    <row r="92" customFormat="false" ht="15" hidden="false" customHeight="true" outlineLevel="0" collapsed="false">
      <c r="A92" s="14"/>
      <c r="B92" s="14"/>
      <c r="C92" s="14"/>
      <c r="D92" s="14"/>
      <c r="E92" s="14"/>
      <c r="F92" s="15"/>
      <c r="G92" s="14"/>
      <c r="H92" s="15"/>
      <c r="I92" s="14"/>
      <c r="J92" s="14"/>
      <c r="K92" s="14"/>
      <c r="L92" s="14"/>
      <c r="M92" s="14"/>
      <c r="N92" s="14"/>
      <c r="O92" s="14" t="str">
        <f aca="false">IF($A92="","",IF($R92="","à confirmer",IF($P92&lt;&gt;"","partiel","confirmé")))</f>
        <v/>
      </c>
      <c r="P92" s="16"/>
      <c r="Q92" s="14"/>
      <c r="R92" s="14"/>
      <c r="S92" s="16"/>
    </row>
    <row r="93" customFormat="false" ht="15" hidden="false" customHeight="true" outlineLevel="0" collapsed="false">
      <c r="A93" s="14"/>
      <c r="B93" s="14"/>
      <c r="C93" s="14"/>
      <c r="D93" s="14"/>
      <c r="E93" s="14"/>
      <c r="F93" s="15"/>
      <c r="G93" s="14"/>
      <c r="H93" s="15"/>
      <c r="I93" s="14"/>
      <c r="J93" s="14"/>
      <c r="K93" s="14"/>
      <c r="L93" s="14"/>
      <c r="M93" s="14"/>
      <c r="N93" s="14"/>
      <c r="O93" s="14" t="str">
        <f aca="false">IF($A93="","",IF($R93="","à confirmer",IF($P93&lt;&gt;"","partiel","confirmé")))</f>
        <v/>
      </c>
      <c r="P93" s="16"/>
      <c r="Q93" s="14"/>
      <c r="R93" s="14"/>
      <c r="S93" s="16"/>
    </row>
    <row r="94" customFormat="false" ht="15" hidden="false" customHeight="true" outlineLevel="0" collapsed="false">
      <c r="A94" s="14"/>
      <c r="B94" s="14"/>
      <c r="C94" s="14"/>
      <c r="D94" s="14"/>
      <c r="E94" s="14"/>
      <c r="F94" s="15"/>
      <c r="G94" s="14"/>
      <c r="H94" s="15"/>
      <c r="I94" s="14"/>
      <c r="J94" s="14"/>
      <c r="K94" s="14"/>
      <c r="L94" s="14"/>
      <c r="M94" s="14"/>
      <c r="N94" s="14"/>
      <c r="O94" s="14" t="str">
        <f aca="false">IF($A94="","",IF($R94="","à confirmer",IF($P94&lt;&gt;"","partiel","confirmé")))</f>
        <v/>
      </c>
      <c r="P94" s="16"/>
      <c r="Q94" s="14"/>
      <c r="R94" s="14"/>
      <c r="S94" s="16"/>
    </row>
    <row r="95" customFormat="false" ht="15" hidden="false" customHeight="true" outlineLevel="0" collapsed="false">
      <c r="A95" s="14"/>
      <c r="B95" s="14"/>
      <c r="C95" s="14"/>
      <c r="D95" s="14"/>
      <c r="E95" s="14"/>
      <c r="F95" s="15"/>
      <c r="G95" s="14"/>
      <c r="H95" s="15"/>
      <c r="I95" s="14"/>
      <c r="J95" s="14"/>
      <c r="K95" s="14"/>
      <c r="L95" s="14"/>
      <c r="M95" s="14"/>
      <c r="N95" s="14"/>
      <c r="O95" s="14" t="str">
        <f aca="false">IF($A95="","",IF($R95="","à confirmer",IF($P95&lt;&gt;"","partiel","confirmé")))</f>
        <v/>
      </c>
      <c r="P95" s="16"/>
      <c r="Q95" s="14"/>
      <c r="R95" s="14"/>
      <c r="S95" s="16"/>
    </row>
    <row r="96" customFormat="false" ht="15" hidden="false" customHeight="true" outlineLevel="0" collapsed="false">
      <c r="A96" s="14"/>
      <c r="B96" s="14"/>
      <c r="C96" s="14"/>
      <c r="D96" s="14"/>
      <c r="E96" s="14"/>
      <c r="F96" s="15"/>
      <c r="G96" s="14"/>
      <c r="H96" s="15"/>
      <c r="I96" s="14"/>
      <c r="J96" s="14"/>
      <c r="K96" s="14"/>
      <c r="L96" s="14"/>
      <c r="M96" s="14"/>
      <c r="N96" s="14"/>
      <c r="O96" s="14" t="str">
        <f aca="false">IF($A96="","",IF($R96="","à confirmer",IF($P96&lt;&gt;"","partiel","confirmé")))</f>
        <v/>
      </c>
      <c r="P96" s="16"/>
      <c r="Q96" s="14"/>
      <c r="R96" s="14"/>
      <c r="S96" s="16"/>
    </row>
    <row r="97" customFormat="false" ht="15" hidden="false" customHeight="true" outlineLevel="0" collapsed="false">
      <c r="A97" s="14"/>
      <c r="B97" s="14"/>
      <c r="C97" s="14"/>
      <c r="D97" s="14"/>
      <c r="E97" s="14"/>
      <c r="F97" s="15"/>
      <c r="G97" s="14"/>
      <c r="H97" s="15"/>
      <c r="I97" s="14"/>
      <c r="J97" s="14"/>
      <c r="K97" s="14"/>
      <c r="L97" s="14"/>
      <c r="M97" s="14"/>
      <c r="N97" s="14"/>
      <c r="O97" s="14" t="str">
        <f aca="false">IF($A97="","",IF($R97="","à confirmer",IF($P97&lt;&gt;"","partiel","confirmé")))</f>
        <v/>
      </c>
      <c r="P97" s="16"/>
      <c r="Q97" s="14"/>
      <c r="R97" s="14"/>
      <c r="S97" s="16"/>
    </row>
    <row r="98" customFormat="false" ht="15" hidden="false" customHeight="true" outlineLevel="0" collapsed="false">
      <c r="A98" s="14"/>
      <c r="B98" s="14"/>
      <c r="C98" s="14"/>
      <c r="D98" s="14"/>
      <c r="E98" s="14"/>
      <c r="F98" s="15"/>
      <c r="G98" s="14"/>
      <c r="H98" s="15"/>
      <c r="I98" s="14"/>
      <c r="J98" s="14"/>
      <c r="K98" s="14"/>
      <c r="L98" s="14"/>
      <c r="M98" s="14"/>
      <c r="N98" s="14"/>
      <c r="O98" s="14" t="str">
        <f aca="false">IF($A98="","",IF($R98="","à confirmer",IF($P98&lt;&gt;"","partiel","confirmé")))</f>
        <v/>
      </c>
      <c r="P98" s="16"/>
      <c r="Q98" s="14"/>
      <c r="R98" s="14"/>
      <c r="S98" s="16"/>
    </row>
    <row r="99" customFormat="false" ht="15" hidden="false" customHeight="true" outlineLevel="0" collapsed="false">
      <c r="A99" s="14"/>
      <c r="B99" s="14"/>
      <c r="C99" s="14"/>
      <c r="D99" s="14"/>
      <c r="E99" s="14"/>
      <c r="F99" s="15"/>
      <c r="G99" s="14"/>
      <c r="H99" s="15"/>
      <c r="I99" s="14"/>
      <c r="J99" s="14"/>
      <c r="K99" s="14"/>
      <c r="L99" s="14"/>
      <c r="M99" s="14"/>
      <c r="N99" s="14"/>
      <c r="O99" s="14" t="str">
        <f aca="false">IF($A99="","",IF($R99="","à confirmer",IF($P99&lt;&gt;"","partiel","confirmé")))</f>
        <v/>
      </c>
      <c r="P99" s="16"/>
      <c r="Q99" s="14"/>
      <c r="R99" s="14"/>
      <c r="S99" s="16"/>
    </row>
    <row r="100" customFormat="false" ht="15" hidden="false" customHeight="true" outlineLevel="0" collapsed="false">
      <c r="A100" s="14"/>
      <c r="B100" s="14"/>
      <c r="C100" s="14"/>
      <c r="D100" s="14"/>
      <c r="E100" s="14"/>
      <c r="F100" s="15"/>
      <c r="G100" s="14"/>
      <c r="H100" s="15"/>
      <c r="I100" s="14"/>
      <c r="J100" s="14"/>
      <c r="K100" s="14"/>
      <c r="L100" s="14"/>
      <c r="M100" s="14"/>
      <c r="N100" s="14"/>
      <c r="O100" s="14" t="str">
        <f aca="false">IF($A100="","",IF($R100="","à confirmer",IF($P100&lt;&gt;"","partiel","confirmé")))</f>
        <v/>
      </c>
      <c r="P100" s="16"/>
      <c r="Q100" s="14"/>
      <c r="R100" s="14"/>
      <c r="S100" s="16"/>
    </row>
    <row r="101" customFormat="false" ht="15" hidden="false" customHeight="true" outlineLevel="0" collapsed="false">
      <c r="A101" s="14"/>
      <c r="B101" s="14"/>
      <c r="C101" s="14"/>
      <c r="D101" s="14"/>
      <c r="E101" s="14"/>
      <c r="F101" s="15"/>
      <c r="G101" s="14"/>
      <c r="H101" s="15"/>
      <c r="I101" s="14"/>
      <c r="J101" s="14"/>
      <c r="K101" s="14"/>
      <c r="L101" s="14"/>
      <c r="M101" s="14"/>
      <c r="N101" s="14"/>
      <c r="O101" s="14" t="str">
        <f aca="false">IF($A101="","",IF($R101="","à confirmer",IF($P101&lt;&gt;"","partiel","confirmé")))</f>
        <v/>
      </c>
      <c r="P101" s="16"/>
      <c r="Q101" s="14"/>
      <c r="R101" s="14"/>
      <c r="S101" s="16"/>
    </row>
    <row r="102" customFormat="false" ht="15" hidden="false" customHeight="true" outlineLevel="0" collapsed="false">
      <c r="A102" s="14"/>
      <c r="B102" s="14"/>
      <c r="C102" s="14"/>
      <c r="D102" s="14"/>
      <c r="E102" s="14"/>
      <c r="F102" s="15"/>
      <c r="G102" s="14"/>
      <c r="H102" s="15"/>
      <c r="I102" s="14"/>
      <c r="J102" s="14"/>
      <c r="K102" s="14"/>
      <c r="L102" s="14"/>
      <c r="M102" s="14"/>
      <c r="N102" s="14"/>
      <c r="O102" s="14" t="str">
        <f aca="false">IF($A102="","",IF($R102="","à confirmer",IF($P102&lt;&gt;"","partiel","confirmé")))</f>
        <v/>
      </c>
      <c r="P102" s="16"/>
      <c r="Q102" s="14"/>
      <c r="R102" s="14"/>
      <c r="S102" s="16"/>
    </row>
    <row r="103" customFormat="false" ht="15" hidden="false" customHeight="true" outlineLevel="0" collapsed="false">
      <c r="A103" s="14"/>
      <c r="B103" s="14"/>
      <c r="C103" s="14"/>
      <c r="D103" s="14"/>
      <c r="E103" s="14"/>
      <c r="F103" s="15"/>
      <c r="G103" s="14"/>
      <c r="H103" s="15"/>
      <c r="I103" s="14"/>
      <c r="J103" s="14"/>
      <c r="K103" s="14"/>
      <c r="L103" s="14"/>
      <c r="M103" s="14"/>
      <c r="N103" s="14"/>
      <c r="O103" s="14" t="str">
        <f aca="false">IF($A103="","",IF($R103="","à confirmer",IF($P103&lt;&gt;"","partiel","confirmé")))</f>
        <v/>
      </c>
      <c r="P103" s="16"/>
      <c r="Q103" s="14"/>
      <c r="R103" s="14"/>
      <c r="S103" s="16"/>
    </row>
    <row r="104" customFormat="false" ht="15" hidden="false" customHeight="true" outlineLevel="0" collapsed="false">
      <c r="A104" s="14"/>
      <c r="B104" s="14"/>
      <c r="C104" s="14"/>
      <c r="D104" s="14"/>
      <c r="E104" s="14"/>
      <c r="F104" s="15"/>
      <c r="G104" s="14"/>
      <c r="H104" s="15"/>
      <c r="I104" s="14"/>
      <c r="J104" s="14"/>
      <c r="K104" s="14"/>
      <c r="L104" s="14"/>
      <c r="M104" s="14"/>
      <c r="N104" s="14"/>
      <c r="O104" s="14" t="str">
        <f aca="false">IF($A104="","",IF($R104="","à confirmer",IF($P104&lt;&gt;"","partiel","confirmé")))</f>
        <v/>
      </c>
      <c r="P104" s="16"/>
      <c r="Q104" s="14"/>
      <c r="R104" s="14"/>
      <c r="S104" s="16"/>
    </row>
    <row r="105" customFormat="false" ht="15" hidden="false" customHeight="true" outlineLevel="0" collapsed="false">
      <c r="A105" s="14"/>
      <c r="B105" s="14"/>
      <c r="C105" s="14"/>
      <c r="D105" s="14"/>
      <c r="E105" s="14"/>
      <c r="F105" s="15"/>
      <c r="G105" s="14"/>
      <c r="H105" s="15"/>
      <c r="I105" s="14"/>
      <c r="J105" s="14"/>
      <c r="K105" s="14"/>
      <c r="L105" s="14"/>
      <c r="M105" s="14"/>
      <c r="N105" s="14"/>
      <c r="O105" s="14" t="str">
        <f aca="false">IF($A105="","",IF($R105="","à confirmer",IF($P105&lt;&gt;"","partiel","confirmé")))</f>
        <v/>
      </c>
      <c r="P105" s="16"/>
      <c r="Q105" s="14"/>
      <c r="R105" s="14"/>
      <c r="S105" s="16"/>
    </row>
    <row r="106" customFormat="false" ht="15" hidden="false" customHeight="true" outlineLevel="0" collapsed="false">
      <c r="A106" s="14"/>
      <c r="B106" s="14"/>
      <c r="C106" s="14"/>
      <c r="D106" s="14"/>
      <c r="E106" s="14"/>
      <c r="F106" s="15"/>
      <c r="G106" s="14"/>
      <c r="H106" s="15"/>
      <c r="I106" s="14"/>
      <c r="J106" s="14"/>
      <c r="K106" s="14"/>
      <c r="L106" s="14"/>
      <c r="M106" s="14"/>
      <c r="N106" s="14"/>
      <c r="O106" s="14" t="str">
        <f aca="false">IF($A106="","",IF($R106="","à confirmer",IF($P106&lt;&gt;"","partiel","confirmé")))</f>
        <v/>
      </c>
      <c r="P106" s="16"/>
      <c r="Q106" s="14"/>
      <c r="R106" s="14"/>
      <c r="S106" s="16"/>
    </row>
    <row r="107" customFormat="false" ht="15" hidden="false" customHeight="true" outlineLevel="0" collapsed="false">
      <c r="A107" s="14"/>
      <c r="B107" s="14"/>
      <c r="C107" s="14"/>
      <c r="D107" s="14"/>
      <c r="E107" s="14"/>
      <c r="F107" s="15"/>
      <c r="G107" s="14"/>
      <c r="H107" s="15"/>
      <c r="I107" s="14"/>
      <c r="J107" s="14"/>
      <c r="K107" s="14"/>
      <c r="L107" s="14"/>
      <c r="M107" s="14"/>
      <c r="N107" s="14"/>
      <c r="O107" s="14" t="str">
        <f aca="false">IF($A107="","",IF($R107="","à confirmer",IF($P107&lt;&gt;"","partiel","confirmé")))</f>
        <v/>
      </c>
      <c r="P107" s="16"/>
      <c r="Q107" s="14"/>
      <c r="R107" s="14"/>
      <c r="S107" s="16"/>
    </row>
    <row r="108" customFormat="false" ht="15" hidden="false" customHeight="true" outlineLevel="0" collapsed="false">
      <c r="A108" s="14"/>
      <c r="B108" s="14"/>
      <c r="C108" s="14"/>
      <c r="D108" s="14"/>
      <c r="E108" s="14"/>
      <c r="F108" s="15"/>
      <c r="G108" s="14"/>
      <c r="H108" s="15"/>
      <c r="I108" s="14"/>
      <c r="J108" s="14"/>
      <c r="K108" s="14"/>
      <c r="L108" s="14"/>
      <c r="M108" s="14"/>
      <c r="N108" s="14"/>
      <c r="O108" s="14" t="str">
        <f aca="false">IF($A108="","",IF($R108="","à confirmer",IF($P108&lt;&gt;"","partiel","confirmé")))</f>
        <v/>
      </c>
      <c r="P108" s="16"/>
      <c r="Q108" s="14"/>
      <c r="R108" s="14"/>
      <c r="S108" s="16"/>
    </row>
    <row r="109" customFormat="false" ht="15" hidden="false" customHeight="true" outlineLevel="0" collapsed="false">
      <c r="A109" s="14"/>
      <c r="B109" s="14"/>
      <c r="C109" s="14"/>
      <c r="D109" s="14"/>
      <c r="E109" s="14"/>
      <c r="F109" s="15"/>
      <c r="G109" s="14"/>
      <c r="H109" s="15"/>
      <c r="I109" s="14"/>
      <c r="J109" s="14"/>
      <c r="K109" s="14"/>
      <c r="L109" s="14"/>
      <c r="M109" s="14"/>
      <c r="N109" s="14"/>
      <c r="O109" s="14" t="str">
        <f aca="false">IF($A109="","",IF($R109="","à confirmer",IF($P109&lt;&gt;"","partiel","confirmé")))</f>
        <v/>
      </c>
      <c r="P109" s="16"/>
      <c r="Q109" s="14"/>
      <c r="R109" s="14"/>
      <c r="S109" s="16"/>
    </row>
    <row r="110" customFormat="false" ht="15" hidden="false" customHeight="true" outlineLevel="0" collapsed="false">
      <c r="A110" s="14"/>
      <c r="B110" s="14"/>
      <c r="C110" s="14"/>
      <c r="D110" s="14"/>
      <c r="E110" s="14"/>
      <c r="F110" s="15"/>
      <c r="G110" s="14"/>
      <c r="H110" s="15"/>
      <c r="I110" s="14"/>
      <c r="J110" s="14"/>
      <c r="K110" s="14"/>
      <c r="L110" s="14"/>
      <c r="M110" s="14"/>
      <c r="N110" s="14"/>
      <c r="O110" s="14" t="str">
        <f aca="false">IF($A110="","",IF($R110="","à confirmer",IF($P110&lt;&gt;"","partiel","confirmé")))</f>
        <v/>
      </c>
      <c r="P110" s="16"/>
      <c r="Q110" s="14"/>
      <c r="R110" s="14"/>
      <c r="S110" s="16"/>
    </row>
    <row r="111" customFormat="false" ht="15" hidden="false" customHeight="true" outlineLevel="0" collapsed="false">
      <c r="A111" s="14"/>
      <c r="B111" s="14"/>
      <c r="C111" s="14"/>
      <c r="D111" s="14"/>
      <c r="E111" s="14"/>
      <c r="F111" s="15"/>
      <c r="G111" s="14"/>
      <c r="H111" s="15"/>
      <c r="I111" s="14"/>
      <c r="J111" s="14"/>
      <c r="K111" s="14"/>
      <c r="L111" s="14"/>
      <c r="M111" s="14"/>
      <c r="N111" s="14"/>
      <c r="O111" s="14" t="str">
        <f aca="false">IF($A111="","",IF($R111="","à confirmer",IF($P111&lt;&gt;"","partiel","confirmé")))</f>
        <v/>
      </c>
      <c r="P111" s="16"/>
      <c r="Q111" s="14"/>
      <c r="R111" s="14"/>
      <c r="S111" s="16"/>
    </row>
    <row r="112" customFormat="false" ht="15" hidden="false" customHeight="true" outlineLevel="0" collapsed="false">
      <c r="A112" s="14"/>
      <c r="B112" s="14"/>
      <c r="C112" s="14"/>
      <c r="D112" s="14"/>
      <c r="E112" s="14"/>
      <c r="F112" s="15"/>
      <c r="G112" s="14"/>
      <c r="H112" s="15"/>
      <c r="I112" s="14"/>
      <c r="J112" s="14"/>
      <c r="K112" s="14"/>
      <c r="L112" s="14"/>
      <c r="M112" s="14"/>
      <c r="N112" s="14"/>
      <c r="O112" s="14" t="str">
        <f aca="false">IF($A112="","",IF($R112="","à confirmer",IF($P112&lt;&gt;"","partiel","confirmé")))</f>
        <v/>
      </c>
      <c r="P112" s="16"/>
      <c r="Q112" s="14"/>
      <c r="R112" s="14"/>
      <c r="S112" s="16"/>
    </row>
    <row r="113" customFormat="false" ht="15" hidden="false" customHeight="true" outlineLevel="0" collapsed="false">
      <c r="A113" s="14"/>
      <c r="B113" s="14"/>
      <c r="C113" s="14"/>
      <c r="D113" s="14"/>
      <c r="E113" s="14"/>
      <c r="F113" s="15"/>
      <c r="G113" s="14"/>
      <c r="H113" s="15"/>
      <c r="I113" s="14"/>
      <c r="J113" s="14"/>
      <c r="K113" s="14"/>
      <c r="L113" s="14"/>
      <c r="M113" s="14"/>
      <c r="N113" s="14"/>
      <c r="O113" s="14" t="str">
        <f aca="false">IF($A113="","",IF($R113="","à confirmer",IF($P113&lt;&gt;"","partiel","confirmé")))</f>
        <v/>
      </c>
      <c r="P113" s="16"/>
      <c r="Q113" s="14"/>
      <c r="R113" s="14"/>
      <c r="S113" s="16"/>
    </row>
    <row r="114" customFormat="false" ht="15" hidden="false" customHeight="true" outlineLevel="0" collapsed="false">
      <c r="A114" s="14"/>
      <c r="B114" s="14"/>
      <c r="C114" s="14"/>
      <c r="D114" s="14"/>
      <c r="E114" s="14"/>
      <c r="F114" s="15"/>
      <c r="G114" s="14"/>
      <c r="H114" s="15"/>
      <c r="I114" s="14"/>
      <c r="J114" s="14"/>
      <c r="K114" s="14"/>
      <c r="L114" s="14"/>
      <c r="M114" s="14"/>
      <c r="N114" s="14"/>
      <c r="O114" s="14" t="str">
        <f aca="false">IF($A114="","",IF($R114="","à confirmer",IF($P114&lt;&gt;"","partiel","confirmé")))</f>
        <v/>
      </c>
      <c r="P114" s="16"/>
      <c r="Q114" s="14"/>
      <c r="R114" s="14"/>
      <c r="S114" s="16"/>
    </row>
    <row r="115" customFormat="false" ht="15" hidden="false" customHeight="true" outlineLevel="0" collapsed="false">
      <c r="A115" s="14"/>
      <c r="B115" s="14"/>
      <c r="C115" s="14"/>
      <c r="D115" s="14"/>
      <c r="E115" s="14"/>
      <c r="F115" s="15"/>
      <c r="G115" s="14"/>
      <c r="H115" s="15"/>
      <c r="I115" s="14"/>
      <c r="J115" s="14"/>
      <c r="K115" s="14"/>
      <c r="L115" s="14"/>
      <c r="M115" s="14"/>
      <c r="N115" s="14"/>
      <c r="O115" s="14" t="str">
        <f aca="false">IF($A115="","",IF($R115="","à confirmer",IF($P115&lt;&gt;"","partiel","confirmé")))</f>
        <v/>
      </c>
      <c r="P115" s="16"/>
      <c r="Q115" s="14"/>
      <c r="R115" s="14"/>
      <c r="S115" s="16"/>
    </row>
    <row r="116" customFormat="false" ht="15" hidden="false" customHeight="true" outlineLevel="0" collapsed="false">
      <c r="A116" s="14"/>
      <c r="B116" s="14"/>
      <c r="C116" s="14"/>
      <c r="D116" s="14"/>
      <c r="E116" s="14"/>
      <c r="F116" s="15"/>
      <c r="G116" s="14"/>
      <c r="H116" s="15"/>
      <c r="I116" s="14"/>
      <c r="J116" s="14"/>
      <c r="K116" s="14"/>
      <c r="L116" s="14"/>
      <c r="M116" s="14"/>
      <c r="N116" s="14"/>
      <c r="O116" s="14" t="str">
        <f aca="false">IF($A116="","",IF($R116="","à confirmer",IF($P116&lt;&gt;"","partiel","confirmé")))</f>
        <v/>
      </c>
      <c r="P116" s="16"/>
      <c r="Q116" s="14"/>
      <c r="R116" s="14"/>
      <c r="S116" s="16"/>
    </row>
    <row r="117" customFormat="false" ht="15" hidden="false" customHeight="true" outlineLevel="0" collapsed="false">
      <c r="A117" s="14"/>
      <c r="B117" s="14"/>
      <c r="C117" s="14"/>
      <c r="D117" s="14"/>
      <c r="E117" s="14"/>
      <c r="F117" s="15"/>
      <c r="G117" s="14"/>
      <c r="H117" s="15"/>
      <c r="I117" s="14"/>
      <c r="J117" s="14"/>
      <c r="K117" s="14"/>
      <c r="L117" s="14"/>
      <c r="M117" s="14"/>
      <c r="N117" s="14"/>
      <c r="O117" s="14" t="str">
        <f aca="false">IF($A117="","",IF($R117="","à confirmer",IF($P117&lt;&gt;"","partiel","confirmé")))</f>
        <v/>
      </c>
      <c r="P117" s="16"/>
      <c r="Q117" s="14"/>
      <c r="R117" s="14"/>
      <c r="S117" s="16"/>
    </row>
    <row r="118" customFormat="false" ht="15" hidden="false" customHeight="true" outlineLevel="0" collapsed="false">
      <c r="A118" s="14"/>
      <c r="B118" s="14"/>
      <c r="C118" s="14"/>
      <c r="D118" s="14"/>
      <c r="E118" s="14"/>
      <c r="F118" s="15"/>
      <c r="G118" s="14"/>
      <c r="H118" s="15"/>
      <c r="I118" s="14"/>
      <c r="J118" s="14"/>
      <c r="K118" s="14"/>
      <c r="L118" s="14"/>
      <c r="M118" s="14"/>
      <c r="N118" s="14"/>
      <c r="O118" s="14" t="str">
        <f aca="false">IF($A118="","",IF($R118="","à confirmer",IF($P118&lt;&gt;"","partiel","confirmé")))</f>
        <v/>
      </c>
      <c r="P118" s="16"/>
      <c r="Q118" s="14"/>
      <c r="R118" s="14"/>
      <c r="S118" s="16"/>
    </row>
    <row r="119" customFormat="false" ht="15" hidden="false" customHeight="true" outlineLevel="0" collapsed="false">
      <c r="A119" s="14"/>
      <c r="B119" s="14"/>
      <c r="C119" s="14"/>
      <c r="D119" s="14"/>
      <c r="E119" s="14"/>
      <c r="F119" s="15"/>
      <c r="G119" s="14"/>
      <c r="H119" s="15"/>
      <c r="I119" s="14"/>
      <c r="J119" s="14"/>
      <c r="K119" s="14"/>
      <c r="L119" s="14"/>
      <c r="M119" s="14"/>
      <c r="N119" s="14"/>
      <c r="O119" s="14" t="str">
        <f aca="false">IF($A119="","",IF($R119="","à confirmer",IF($P119&lt;&gt;"","partiel","confirmé")))</f>
        <v/>
      </c>
      <c r="P119" s="16"/>
      <c r="Q119" s="14"/>
      <c r="R119" s="14"/>
      <c r="S119" s="16"/>
    </row>
    <row r="120" customFormat="false" ht="15" hidden="false" customHeight="true" outlineLevel="0" collapsed="false">
      <c r="A120" s="14"/>
      <c r="B120" s="14"/>
      <c r="C120" s="14"/>
      <c r="D120" s="14"/>
      <c r="E120" s="14"/>
      <c r="F120" s="15"/>
      <c r="G120" s="14"/>
      <c r="H120" s="15"/>
      <c r="I120" s="14"/>
      <c r="J120" s="14"/>
      <c r="K120" s="14"/>
      <c r="L120" s="14"/>
      <c r="M120" s="14"/>
      <c r="N120" s="14"/>
      <c r="O120" s="14" t="str">
        <f aca="false">IF($A120="","",IF($R120="","à confirmer",IF($P120&lt;&gt;"","partiel","confirmé")))</f>
        <v/>
      </c>
      <c r="P120" s="16"/>
      <c r="Q120" s="14"/>
      <c r="R120" s="14"/>
      <c r="S120" s="16"/>
    </row>
    <row r="121" customFormat="false" ht="15" hidden="false" customHeight="true" outlineLevel="0" collapsed="false">
      <c r="A121" s="14"/>
      <c r="B121" s="14"/>
      <c r="C121" s="14"/>
      <c r="D121" s="14"/>
      <c r="E121" s="14"/>
      <c r="F121" s="15"/>
      <c r="G121" s="14"/>
      <c r="H121" s="15"/>
      <c r="I121" s="14"/>
      <c r="J121" s="14"/>
      <c r="K121" s="14"/>
      <c r="L121" s="14"/>
      <c r="M121" s="14"/>
      <c r="N121" s="14"/>
      <c r="O121" s="14" t="str">
        <f aca="false">IF($A121="","",IF($R121="","à confirmer",IF($P121&lt;&gt;"","partiel","confirmé")))</f>
        <v/>
      </c>
      <c r="P121" s="16"/>
      <c r="Q121" s="14"/>
      <c r="R121" s="14"/>
      <c r="S121" s="16"/>
    </row>
    <row r="122" customFormat="false" ht="15" hidden="false" customHeight="true" outlineLevel="0" collapsed="false">
      <c r="A122" s="14"/>
      <c r="B122" s="14"/>
      <c r="C122" s="14"/>
      <c r="D122" s="14"/>
      <c r="E122" s="14"/>
      <c r="F122" s="15"/>
      <c r="G122" s="14"/>
      <c r="H122" s="15"/>
      <c r="I122" s="14"/>
      <c r="J122" s="14"/>
      <c r="K122" s="14"/>
      <c r="L122" s="14"/>
      <c r="M122" s="14"/>
      <c r="N122" s="14"/>
      <c r="O122" s="14" t="str">
        <f aca="false">IF($A122="","",IF($R122="","à confirmer",IF($P122&lt;&gt;"","partiel","confirmé")))</f>
        <v/>
      </c>
      <c r="P122" s="16"/>
      <c r="Q122" s="14"/>
      <c r="R122" s="14"/>
      <c r="S122" s="16"/>
    </row>
    <row r="123" customFormat="false" ht="15" hidden="false" customHeight="true" outlineLevel="0" collapsed="false">
      <c r="A123" s="14"/>
      <c r="B123" s="14"/>
      <c r="C123" s="14"/>
      <c r="D123" s="14"/>
      <c r="E123" s="14"/>
      <c r="F123" s="15"/>
      <c r="G123" s="14"/>
      <c r="H123" s="15"/>
      <c r="I123" s="14"/>
      <c r="J123" s="14"/>
      <c r="K123" s="14"/>
      <c r="L123" s="14"/>
      <c r="M123" s="14"/>
      <c r="N123" s="14"/>
      <c r="O123" s="14" t="str">
        <f aca="false">IF($A123="","",IF($R123="","à confirmer",IF($P123&lt;&gt;"","partiel","confirmé")))</f>
        <v/>
      </c>
      <c r="P123" s="16"/>
      <c r="Q123" s="14"/>
      <c r="R123" s="14"/>
      <c r="S123" s="16"/>
    </row>
    <row r="124" customFormat="false" ht="15" hidden="false" customHeight="true" outlineLevel="0" collapsed="false">
      <c r="A124" s="14"/>
      <c r="B124" s="14"/>
      <c r="C124" s="14"/>
      <c r="D124" s="14"/>
      <c r="E124" s="14"/>
      <c r="F124" s="15"/>
      <c r="G124" s="14"/>
      <c r="H124" s="15"/>
      <c r="I124" s="14"/>
      <c r="J124" s="14"/>
      <c r="K124" s="14"/>
      <c r="L124" s="14"/>
      <c r="M124" s="14"/>
      <c r="N124" s="14"/>
      <c r="O124" s="14" t="str">
        <f aca="false">IF($A124="","",IF($R124="","à confirmer",IF($P124&lt;&gt;"","partiel","confirmé")))</f>
        <v/>
      </c>
      <c r="P124" s="16"/>
      <c r="Q124" s="14"/>
      <c r="R124" s="14"/>
      <c r="S124" s="16"/>
    </row>
    <row r="125" customFormat="false" ht="15" hidden="false" customHeight="true" outlineLevel="0" collapsed="false">
      <c r="A125" s="14"/>
      <c r="B125" s="14"/>
      <c r="C125" s="14"/>
      <c r="D125" s="14"/>
      <c r="E125" s="14"/>
      <c r="F125" s="15"/>
      <c r="G125" s="14"/>
      <c r="H125" s="15"/>
      <c r="I125" s="14"/>
      <c r="J125" s="14"/>
      <c r="K125" s="14"/>
      <c r="L125" s="14"/>
      <c r="M125" s="14"/>
      <c r="N125" s="14"/>
      <c r="O125" s="14" t="str">
        <f aca="false">IF($A125="","",IF($R125="","à confirmer",IF($P125&lt;&gt;"","partiel","confirmé")))</f>
        <v/>
      </c>
      <c r="P125" s="16"/>
      <c r="Q125" s="14"/>
      <c r="R125" s="14"/>
      <c r="S125" s="16"/>
    </row>
    <row r="126" customFormat="false" ht="15" hidden="false" customHeight="true" outlineLevel="0" collapsed="false">
      <c r="A126" s="14"/>
      <c r="B126" s="14"/>
      <c r="C126" s="14"/>
      <c r="D126" s="14"/>
      <c r="E126" s="14"/>
      <c r="F126" s="15"/>
      <c r="G126" s="14"/>
      <c r="H126" s="15"/>
      <c r="I126" s="14"/>
      <c r="J126" s="14"/>
      <c r="K126" s="14"/>
      <c r="L126" s="14"/>
      <c r="M126" s="14"/>
      <c r="N126" s="14"/>
      <c r="O126" s="14" t="str">
        <f aca="false">IF($A126="","",IF($R126="","à confirmer",IF($P126&lt;&gt;"","partiel","confirmé")))</f>
        <v/>
      </c>
      <c r="P126" s="16"/>
      <c r="Q126" s="14"/>
      <c r="R126" s="14"/>
      <c r="S126" s="16"/>
    </row>
    <row r="127" customFormat="false" ht="15" hidden="false" customHeight="true" outlineLevel="0" collapsed="false">
      <c r="A127" s="14"/>
      <c r="B127" s="14"/>
      <c r="C127" s="14"/>
      <c r="D127" s="14"/>
      <c r="E127" s="14"/>
      <c r="F127" s="15"/>
      <c r="G127" s="14"/>
      <c r="H127" s="15"/>
      <c r="I127" s="14"/>
      <c r="J127" s="14"/>
      <c r="K127" s="14"/>
      <c r="L127" s="14"/>
      <c r="M127" s="14"/>
      <c r="N127" s="14"/>
      <c r="O127" s="14" t="str">
        <f aca="false">IF($A127="","",IF($R127="","à confirmer",IF($P127&lt;&gt;"","partiel","confirmé")))</f>
        <v/>
      </c>
      <c r="P127" s="16"/>
      <c r="Q127" s="14"/>
      <c r="R127" s="14"/>
      <c r="S127" s="16"/>
    </row>
    <row r="128" customFormat="false" ht="15" hidden="false" customHeight="true" outlineLevel="0" collapsed="false">
      <c r="A128" s="14"/>
      <c r="B128" s="14"/>
      <c r="C128" s="14"/>
      <c r="D128" s="14"/>
      <c r="E128" s="14"/>
      <c r="F128" s="15"/>
      <c r="G128" s="14"/>
      <c r="H128" s="15"/>
      <c r="I128" s="14"/>
      <c r="J128" s="14"/>
      <c r="K128" s="14"/>
      <c r="L128" s="14"/>
      <c r="M128" s="14"/>
      <c r="N128" s="14"/>
      <c r="O128" s="14" t="str">
        <f aca="false">IF($A128="","",IF($R128="","à confirmer",IF($P128&lt;&gt;"","partiel","confirmé")))</f>
        <v/>
      </c>
      <c r="P128" s="16"/>
      <c r="Q128" s="14"/>
      <c r="R128" s="14"/>
      <c r="S128" s="16"/>
    </row>
    <row r="129" customFormat="false" ht="15" hidden="false" customHeight="true" outlineLevel="0" collapsed="false">
      <c r="A129" s="14"/>
      <c r="B129" s="14"/>
      <c r="C129" s="14"/>
      <c r="D129" s="14"/>
      <c r="E129" s="14"/>
      <c r="F129" s="15"/>
      <c r="G129" s="14"/>
      <c r="H129" s="15"/>
      <c r="I129" s="14"/>
      <c r="J129" s="14"/>
      <c r="K129" s="14"/>
      <c r="L129" s="14"/>
      <c r="M129" s="14"/>
      <c r="N129" s="14"/>
      <c r="O129" s="14" t="str">
        <f aca="false">IF($A129="","",IF($R129="","à confirmer",IF($P129&lt;&gt;"","partiel","confirmé")))</f>
        <v/>
      </c>
      <c r="P129" s="16"/>
      <c r="Q129" s="14"/>
      <c r="R129" s="14"/>
      <c r="S129" s="16"/>
    </row>
    <row r="130" customFormat="false" ht="15" hidden="false" customHeight="true" outlineLevel="0" collapsed="false">
      <c r="A130" s="14"/>
      <c r="B130" s="14"/>
      <c r="C130" s="14"/>
      <c r="D130" s="14"/>
      <c r="E130" s="14"/>
      <c r="F130" s="15"/>
      <c r="G130" s="14"/>
      <c r="H130" s="15"/>
      <c r="I130" s="14"/>
      <c r="J130" s="14"/>
      <c r="K130" s="14"/>
      <c r="L130" s="14"/>
      <c r="M130" s="14"/>
      <c r="N130" s="14"/>
      <c r="O130" s="14" t="str">
        <f aca="false">IF($A130="","",IF($R130="","à confirmer",IF($P130&lt;&gt;"","partiel","confirmé")))</f>
        <v/>
      </c>
      <c r="P130" s="16"/>
      <c r="Q130" s="14"/>
      <c r="R130" s="14"/>
      <c r="S130" s="16"/>
    </row>
    <row r="131" customFormat="false" ht="15" hidden="false" customHeight="true" outlineLevel="0" collapsed="false">
      <c r="A131" s="14"/>
      <c r="B131" s="14"/>
      <c r="C131" s="14"/>
      <c r="D131" s="14"/>
      <c r="E131" s="14"/>
      <c r="F131" s="15"/>
      <c r="G131" s="14"/>
      <c r="H131" s="15"/>
      <c r="I131" s="14"/>
      <c r="J131" s="14"/>
      <c r="K131" s="14"/>
      <c r="L131" s="14"/>
      <c r="M131" s="14"/>
      <c r="N131" s="14"/>
      <c r="O131" s="14" t="str">
        <f aca="false">IF($A131="","",IF($R131="","à confirmer",IF($P131&lt;&gt;"","partiel","confirmé")))</f>
        <v/>
      </c>
      <c r="P131" s="16"/>
      <c r="Q131" s="14"/>
      <c r="R131" s="14"/>
      <c r="S131" s="16"/>
    </row>
    <row r="132" customFormat="false" ht="15" hidden="false" customHeight="true" outlineLevel="0" collapsed="false">
      <c r="A132" s="14"/>
      <c r="B132" s="14"/>
      <c r="C132" s="14"/>
      <c r="D132" s="14"/>
      <c r="E132" s="14"/>
      <c r="F132" s="15"/>
      <c r="G132" s="14"/>
      <c r="H132" s="15"/>
      <c r="I132" s="14"/>
      <c r="J132" s="14"/>
      <c r="K132" s="14"/>
      <c r="L132" s="14"/>
      <c r="M132" s="14"/>
      <c r="N132" s="14"/>
      <c r="O132" s="14" t="str">
        <f aca="false">IF($A132="","",IF($R132="","à confirmer",IF($P132&lt;&gt;"","partiel","confirmé")))</f>
        <v/>
      </c>
      <c r="P132" s="16"/>
      <c r="Q132" s="14"/>
      <c r="R132" s="14"/>
      <c r="S132" s="16"/>
    </row>
    <row r="133" customFormat="false" ht="15" hidden="false" customHeight="true" outlineLevel="0" collapsed="false">
      <c r="A133" s="14"/>
      <c r="B133" s="14"/>
      <c r="C133" s="14"/>
      <c r="D133" s="14"/>
      <c r="E133" s="14"/>
      <c r="F133" s="15"/>
      <c r="G133" s="14"/>
      <c r="H133" s="15"/>
      <c r="I133" s="14"/>
      <c r="J133" s="14"/>
      <c r="K133" s="14"/>
      <c r="L133" s="14"/>
      <c r="M133" s="14"/>
      <c r="N133" s="14"/>
      <c r="O133" s="14" t="str">
        <f aca="false">IF($A133="","",IF($R133="","à confirmer",IF($P133&lt;&gt;"","partiel","confirmé")))</f>
        <v/>
      </c>
      <c r="P133" s="16"/>
      <c r="Q133" s="14"/>
      <c r="R133" s="14"/>
      <c r="S133" s="16"/>
    </row>
    <row r="134" customFormat="false" ht="15" hidden="false" customHeight="true" outlineLevel="0" collapsed="false">
      <c r="A134" s="14"/>
      <c r="B134" s="14"/>
      <c r="C134" s="14"/>
      <c r="D134" s="14"/>
      <c r="E134" s="14"/>
      <c r="F134" s="15"/>
      <c r="G134" s="14"/>
      <c r="H134" s="15"/>
      <c r="I134" s="14"/>
      <c r="J134" s="14"/>
      <c r="K134" s="14"/>
      <c r="L134" s="14"/>
      <c r="M134" s="14"/>
      <c r="N134" s="14"/>
      <c r="O134" s="14" t="str">
        <f aca="false">IF($A134="","",IF($R134="","à confirmer",IF($P134&lt;&gt;"","partiel","confirmé")))</f>
        <v/>
      </c>
      <c r="P134" s="16"/>
      <c r="Q134" s="14"/>
      <c r="R134" s="14"/>
      <c r="S134" s="16"/>
    </row>
    <row r="135" customFormat="false" ht="15" hidden="false" customHeight="true" outlineLevel="0" collapsed="false">
      <c r="A135" s="14"/>
      <c r="B135" s="14"/>
      <c r="C135" s="14"/>
      <c r="D135" s="14"/>
      <c r="E135" s="14"/>
      <c r="F135" s="15"/>
      <c r="G135" s="14"/>
      <c r="H135" s="15"/>
      <c r="I135" s="14"/>
      <c r="J135" s="14"/>
      <c r="K135" s="14"/>
      <c r="L135" s="14"/>
      <c r="M135" s="14"/>
      <c r="N135" s="14"/>
      <c r="O135" s="14" t="str">
        <f aca="false">IF($A135="","",IF($R135="","à confirmer",IF($P135&lt;&gt;"","partiel","confirmé")))</f>
        <v/>
      </c>
      <c r="P135" s="16"/>
      <c r="Q135" s="14"/>
      <c r="R135" s="14"/>
      <c r="S135" s="16"/>
    </row>
    <row r="136" customFormat="false" ht="15" hidden="false" customHeight="true" outlineLevel="0" collapsed="false">
      <c r="A136" s="14"/>
      <c r="B136" s="14"/>
      <c r="C136" s="14"/>
      <c r="D136" s="14"/>
      <c r="E136" s="14"/>
      <c r="F136" s="15"/>
      <c r="G136" s="14"/>
      <c r="H136" s="15"/>
      <c r="I136" s="14"/>
      <c r="J136" s="14"/>
      <c r="K136" s="14"/>
      <c r="L136" s="14"/>
      <c r="M136" s="14"/>
      <c r="N136" s="14"/>
      <c r="O136" s="14" t="str">
        <f aca="false">IF($A136="","",IF($R136="","à confirmer",IF($P136&lt;&gt;"","partiel","confirmé")))</f>
        <v/>
      </c>
      <c r="P136" s="16"/>
      <c r="Q136" s="14"/>
      <c r="R136" s="14"/>
      <c r="S136" s="16"/>
    </row>
    <row r="137" customFormat="false" ht="15" hidden="false" customHeight="true" outlineLevel="0" collapsed="false">
      <c r="A137" s="14"/>
      <c r="B137" s="14"/>
      <c r="C137" s="14"/>
      <c r="D137" s="14"/>
      <c r="E137" s="14"/>
      <c r="F137" s="15"/>
      <c r="G137" s="14"/>
      <c r="H137" s="15"/>
      <c r="I137" s="14"/>
      <c r="J137" s="14"/>
      <c r="K137" s="14"/>
      <c r="L137" s="14"/>
      <c r="M137" s="14"/>
      <c r="N137" s="14"/>
      <c r="O137" s="14" t="str">
        <f aca="false">IF($A137="","",IF($R137="","à confirmer",IF($P137&lt;&gt;"","partiel","confirmé")))</f>
        <v/>
      </c>
      <c r="P137" s="16"/>
      <c r="Q137" s="14"/>
      <c r="R137" s="14"/>
      <c r="S137" s="16"/>
    </row>
    <row r="138" customFormat="false" ht="15" hidden="false" customHeight="true" outlineLevel="0" collapsed="false">
      <c r="A138" s="14"/>
      <c r="B138" s="14"/>
      <c r="C138" s="14"/>
      <c r="D138" s="14"/>
      <c r="E138" s="14"/>
      <c r="F138" s="15"/>
      <c r="G138" s="14"/>
      <c r="H138" s="15"/>
      <c r="I138" s="14"/>
      <c r="J138" s="14"/>
      <c r="K138" s="14"/>
      <c r="L138" s="14"/>
      <c r="M138" s="14"/>
      <c r="N138" s="14"/>
      <c r="O138" s="14" t="str">
        <f aca="false">IF($A138="","",IF($R138="","à confirmer",IF($P138&lt;&gt;"","partiel","confirmé")))</f>
        <v/>
      </c>
      <c r="P138" s="16"/>
      <c r="Q138" s="14"/>
      <c r="R138" s="14"/>
      <c r="S138" s="16"/>
    </row>
    <row r="139" customFormat="false" ht="15" hidden="false" customHeight="true" outlineLevel="0" collapsed="false">
      <c r="A139" s="14"/>
      <c r="B139" s="14"/>
      <c r="C139" s="14"/>
      <c r="D139" s="14"/>
      <c r="E139" s="14"/>
      <c r="F139" s="15"/>
      <c r="G139" s="14"/>
      <c r="H139" s="15"/>
      <c r="I139" s="14"/>
      <c r="J139" s="14"/>
      <c r="K139" s="14"/>
      <c r="L139" s="14"/>
      <c r="M139" s="14"/>
      <c r="N139" s="14"/>
      <c r="O139" s="14" t="str">
        <f aca="false">IF($A139="","",IF($R139="","à confirmer",IF($P139&lt;&gt;"","partiel","confirmé")))</f>
        <v/>
      </c>
      <c r="P139" s="16"/>
      <c r="Q139" s="14"/>
      <c r="R139" s="14"/>
      <c r="S139" s="16"/>
    </row>
    <row r="140" customFormat="false" ht="15" hidden="false" customHeight="true" outlineLevel="0" collapsed="false">
      <c r="A140" s="14"/>
      <c r="B140" s="14"/>
      <c r="C140" s="14"/>
      <c r="D140" s="14"/>
      <c r="E140" s="14"/>
      <c r="F140" s="15"/>
      <c r="G140" s="14"/>
      <c r="H140" s="15"/>
      <c r="I140" s="14"/>
      <c r="J140" s="14"/>
      <c r="K140" s="14"/>
      <c r="L140" s="14"/>
      <c r="M140" s="14"/>
      <c r="N140" s="14"/>
      <c r="O140" s="14" t="str">
        <f aca="false">IF($A140="","",IF($R140="","à confirmer",IF($P140&lt;&gt;"","partiel","confirmé")))</f>
        <v/>
      </c>
      <c r="P140" s="16"/>
      <c r="Q140" s="14"/>
      <c r="R140" s="14"/>
      <c r="S140" s="16"/>
    </row>
    <row r="141" customFormat="false" ht="15" hidden="false" customHeight="true" outlineLevel="0" collapsed="false">
      <c r="A141" s="14"/>
      <c r="B141" s="14"/>
      <c r="C141" s="14"/>
      <c r="D141" s="14"/>
      <c r="E141" s="14"/>
      <c r="F141" s="15"/>
      <c r="G141" s="14"/>
      <c r="H141" s="15"/>
      <c r="I141" s="14"/>
      <c r="J141" s="14"/>
      <c r="K141" s="14"/>
      <c r="L141" s="14"/>
      <c r="M141" s="14"/>
      <c r="N141" s="14"/>
      <c r="O141" s="14" t="str">
        <f aca="false">IF($A141="","",IF($R141="","à confirmer",IF($P141&lt;&gt;"","partiel","confirmé")))</f>
        <v/>
      </c>
      <c r="P141" s="16"/>
      <c r="Q141" s="14"/>
      <c r="R141" s="14"/>
      <c r="S141" s="16"/>
    </row>
    <row r="142" customFormat="false" ht="15" hidden="false" customHeight="true" outlineLevel="0" collapsed="false">
      <c r="A142" s="14"/>
      <c r="B142" s="14"/>
      <c r="C142" s="14"/>
      <c r="D142" s="14"/>
      <c r="E142" s="14"/>
      <c r="F142" s="15"/>
      <c r="G142" s="14"/>
      <c r="H142" s="15"/>
      <c r="I142" s="14"/>
      <c r="J142" s="14"/>
      <c r="K142" s="14"/>
      <c r="L142" s="14"/>
      <c r="M142" s="14"/>
      <c r="N142" s="14"/>
      <c r="O142" s="14" t="str">
        <f aca="false">IF($A142="","",IF($R142="","à confirmer",IF($P142&lt;&gt;"","partiel","confirmé")))</f>
        <v/>
      </c>
      <c r="P142" s="16"/>
      <c r="Q142" s="14"/>
      <c r="R142" s="14"/>
      <c r="S142" s="16"/>
    </row>
    <row r="143" customFormat="false" ht="15" hidden="false" customHeight="true" outlineLevel="0" collapsed="false">
      <c r="A143" s="14"/>
      <c r="B143" s="14"/>
      <c r="C143" s="14"/>
      <c r="D143" s="14"/>
      <c r="E143" s="14"/>
      <c r="F143" s="15"/>
      <c r="G143" s="14"/>
      <c r="H143" s="15"/>
      <c r="I143" s="14"/>
      <c r="J143" s="14"/>
      <c r="K143" s="14"/>
      <c r="L143" s="14"/>
      <c r="M143" s="14"/>
      <c r="N143" s="14"/>
      <c r="O143" s="14" t="str">
        <f aca="false">IF($A143="","",IF($R143="","à confirmer",IF($P143&lt;&gt;"","partiel","confirmé")))</f>
        <v/>
      </c>
      <c r="P143" s="16"/>
      <c r="Q143" s="14"/>
      <c r="R143" s="14"/>
      <c r="S143" s="16"/>
    </row>
    <row r="144" customFormat="false" ht="15" hidden="false" customHeight="true" outlineLevel="0" collapsed="false">
      <c r="A144" s="14"/>
      <c r="B144" s="14"/>
      <c r="C144" s="14"/>
      <c r="D144" s="14"/>
      <c r="E144" s="14"/>
      <c r="F144" s="15"/>
      <c r="G144" s="14"/>
      <c r="H144" s="15"/>
      <c r="I144" s="14"/>
      <c r="J144" s="14"/>
      <c r="K144" s="14"/>
      <c r="L144" s="14"/>
      <c r="M144" s="14"/>
      <c r="N144" s="14"/>
      <c r="O144" s="14" t="str">
        <f aca="false">IF($A144="","",IF($R144="","à confirmer",IF($P144&lt;&gt;"","partiel","confirmé")))</f>
        <v/>
      </c>
      <c r="P144" s="16"/>
      <c r="Q144" s="14"/>
      <c r="R144" s="14"/>
      <c r="S144" s="16"/>
    </row>
    <row r="145" customFormat="false" ht="15" hidden="false" customHeight="true" outlineLevel="0" collapsed="false">
      <c r="A145" s="14"/>
      <c r="B145" s="14"/>
      <c r="C145" s="14"/>
      <c r="D145" s="14"/>
      <c r="E145" s="14"/>
      <c r="F145" s="15"/>
      <c r="G145" s="14"/>
      <c r="H145" s="15"/>
      <c r="I145" s="14"/>
      <c r="J145" s="14"/>
      <c r="K145" s="14"/>
      <c r="L145" s="14"/>
      <c r="M145" s="14"/>
      <c r="N145" s="14"/>
      <c r="O145" s="14" t="str">
        <f aca="false">IF($A145="","",IF($R145="","à confirmer",IF($P145&lt;&gt;"","partiel","confirmé")))</f>
        <v/>
      </c>
      <c r="P145" s="16"/>
      <c r="Q145" s="14"/>
      <c r="R145" s="14"/>
      <c r="S145" s="16"/>
    </row>
    <row r="146" customFormat="false" ht="15" hidden="false" customHeight="true" outlineLevel="0" collapsed="false">
      <c r="A146" s="14"/>
      <c r="B146" s="14"/>
      <c r="C146" s="14"/>
      <c r="D146" s="14"/>
      <c r="E146" s="14"/>
      <c r="F146" s="15"/>
      <c r="G146" s="14"/>
      <c r="H146" s="15"/>
      <c r="I146" s="14"/>
      <c r="J146" s="14"/>
      <c r="K146" s="14"/>
      <c r="L146" s="14"/>
      <c r="M146" s="14"/>
      <c r="N146" s="14"/>
      <c r="O146" s="14" t="str">
        <f aca="false">IF($A146="","",IF($R146="","à confirmer",IF($P146&lt;&gt;"","partiel","confirmé")))</f>
        <v/>
      </c>
      <c r="P146" s="16"/>
      <c r="Q146" s="14"/>
      <c r="R146" s="14"/>
      <c r="S146" s="16"/>
    </row>
    <row r="147" customFormat="false" ht="15" hidden="false" customHeight="true" outlineLevel="0" collapsed="false">
      <c r="A147" s="14"/>
      <c r="B147" s="14"/>
      <c r="C147" s="14"/>
      <c r="D147" s="14"/>
      <c r="E147" s="14"/>
      <c r="F147" s="15"/>
      <c r="G147" s="14"/>
      <c r="H147" s="15"/>
      <c r="I147" s="14"/>
      <c r="J147" s="14"/>
      <c r="K147" s="14"/>
      <c r="L147" s="14"/>
      <c r="M147" s="14"/>
      <c r="N147" s="14"/>
      <c r="O147" s="14" t="str">
        <f aca="false">IF($A147="","",IF($R147="","à confirmer",IF($P147&lt;&gt;"","partiel","confirmé")))</f>
        <v/>
      </c>
      <c r="P147" s="16"/>
      <c r="Q147" s="14"/>
      <c r="R147" s="14"/>
      <c r="S147" s="16"/>
    </row>
    <row r="148" customFormat="false" ht="15" hidden="false" customHeight="true" outlineLevel="0" collapsed="false">
      <c r="A148" s="14"/>
      <c r="B148" s="14"/>
      <c r="C148" s="14"/>
      <c r="D148" s="14"/>
      <c r="E148" s="14"/>
      <c r="F148" s="15"/>
      <c r="G148" s="14"/>
      <c r="H148" s="15"/>
      <c r="I148" s="14"/>
      <c r="J148" s="14"/>
      <c r="K148" s="14"/>
      <c r="L148" s="14"/>
      <c r="M148" s="14"/>
      <c r="N148" s="14"/>
      <c r="O148" s="14" t="str">
        <f aca="false">IF($A148="","",IF($R148="","à confirmer",IF($P148&lt;&gt;"","partiel","confirmé")))</f>
        <v/>
      </c>
      <c r="P148" s="16"/>
      <c r="Q148" s="14"/>
      <c r="R148" s="14"/>
      <c r="S148" s="16"/>
    </row>
    <row r="149" customFormat="false" ht="15" hidden="false" customHeight="true" outlineLevel="0" collapsed="false">
      <c r="A149" s="14"/>
      <c r="B149" s="14"/>
      <c r="C149" s="14"/>
      <c r="D149" s="14"/>
      <c r="E149" s="14"/>
      <c r="F149" s="15"/>
      <c r="G149" s="14"/>
      <c r="H149" s="15"/>
      <c r="I149" s="14"/>
      <c r="J149" s="14"/>
      <c r="K149" s="14"/>
      <c r="L149" s="14"/>
      <c r="M149" s="14"/>
      <c r="N149" s="14"/>
      <c r="O149" s="14" t="str">
        <f aca="false">IF($A149="","",IF($R149="","à confirmer",IF($P149&lt;&gt;"","partiel","confirmé")))</f>
        <v/>
      </c>
      <c r="P149" s="16"/>
      <c r="Q149" s="14"/>
      <c r="R149" s="14"/>
      <c r="S149" s="16"/>
    </row>
    <row r="150" customFormat="false" ht="15" hidden="false" customHeight="true" outlineLevel="0" collapsed="false">
      <c r="A150" s="14"/>
      <c r="B150" s="14"/>
      <c r="C150" s="14"/>
      <c r="D150" s="14"/>
      <c r="E150" s="14"/>
      <c r="F150" s="15"/>
      <c r="G150" s="14"/>
      <c r="H150" s="15"/>
      <c r="I150" s="14"/>
      <c r="J150" s="14"/>
      <c r="K150" s="14"/>
      <c r="L150" s="14"/>
      <c r="M150" s="14"/>
      <c r="N150" s="14"/>
      <c r="O150" s="14" t="str">
        <f aca="false">IF($A150="","",IF($R150="","à confirmer",IF($P150&lt;&gt;"","partiel","confirmé")))</f>
        <v/>
      </c>
      <c r="P150" s="16"/>
      <c r="Q150" s="14"/>
      <c r="R150" s="14"/>
      <c r="S150" s="16"/>
    </row>
  </sheetData>
  <conditionalFormatting sqref="O2:O150">
    <cfRule type="cellIs" priority="2" operator="equal" aboveAverage="0" equalAverage="0" bottom="0" percent="0" rank="0" text="" dxfId="0">
      <formula>"confirmé"</formula>
    </cfRule>
    <cfRule type="cellIs" priority="3" operator="equal" aboveAverage="0" equalAverage="0" bottom="0" percent="0" rank="0" text="" dxfId="1">
      <formula>"partiel"</formula>
    </cfRule>
    <cfRule type="cellIs" priority="4" operator="equal" aboveAverage="0" equalAverage="0" bottom="0" percent="0" rank="0" text="" dxfId="2">
      <formula>"à confirmer"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abSelected="0">
      <pane ySplit="1" topLeftCell="A2" activePane="bottomLeft" state="frozen"/>
      <selection pane="bottomLeft" activeCell="A2" sqref="A2"/>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Format="false" ht="33.75" hidden="false" customHeight="true" outlineLevel="0" collapsed="false">
      <c r="A1" s="53" t="s">
        <v>323</v>
      </c>
      <c r="B1" s="53" t="s">
        <v>324</v>
      </c>
      <c r="C1" s="53" t="s">
        <v>325</v>
      </c>
      <c r="D1" s="53" t="s">
        <v>326</v>
      </c>
      <c r="E1" s="53" t="s">
        <v>327</v>
      </c>
      <c r="F1" s="53" t="s">
        <v>328</v>
      </c>
      <c r="G1" s="53" t="s">
        <v>329</v>
      </c>
      <c r="H1" s="53" t="s">
        <v>330</v>
      </c>
      <c r="I1" s="53" t="s">
        <v>331</v>
      </c>
      <c r="J1" s="53" t="s">
        <v>332</v>
      </c>
    </row>
    <row r="2" customFormat="false" ht="15" hidden="false" customHeight="true" outlineLevel="0" collapsed="false">
      <c r="A2" s="52" t="s">
        <v>333</v>
      </c>
      <c r="B2" s="52" t="s">
        <v>334</v>
      </c>
      <c r="C2" s="52" t="s">
        <v>335</v>
      </c>
      <c r="D2" s="54" t="s">
        <v>336</v>
      </c>
      <c r="E2" s="52" t="s">
        <v>337</v>
      </c>
      <c r="F2" s="52" t="s">
        <v>338</v>
      </c>
      <c r="G2" s="52" t="s">
        <v>339</v>
      </c>
    </row>
    <row r="3" customFormat="false" ht="15" hidden="false" customHeight="true" outlineLevel="0" collapsed="false">
      <c r="A3" s="52" t="s">
        <v>340</v>
      </c>
      <c r="B3" s="52" t="s">
        <v>341</v>
      </c>
      <c r="C3" s="52" t="s">
        <v>342</v>
      </c>
      <c r="D3" s="54" t="s">
        <v>343</v>
      </c>
      <c r="E3" s="52" t="s">
        <v>41</v>
      </c>
      <c r="F3" s="52" t="s">
        <v>344</v>
      </c>
      <c r="G3" s="52" t="s">
        <v>345</v>
      </c>
    </row>
    <row r="4" customFormat="false" ht="15" hidden="false" customHeight="true" outlineLevel="0" collapsed="false">
      <c r="A4" s="52" t="s">
        <v>346</v>
      </c>
      <c r="B4" s="52" t="s">
        <v>347</v>
      </c>
      <c r="C4" s="52" t="s">
        <v>348</v>
      </c>
      <c r="D4" s="54" t="s">
        <v>349</v>
      </c>
      <c r="E4" s="52" t="s">
        <v>350</v>
      </c>
      <c r="F4" s="52" t="s">
        <v>351</v>
      </c>
      <c r="G4" s="52" t="s">
        <v>345</v>
      </c>
    </row>
    <row r="5" customFormat="false" ht="15" hidden="false" customHeight="true" outlineLevel="0" collapsed="false">
      <c r="A5" s="52" t="s">
        <v>352</v>
      </c>
      <c r="B5" s="52" t="s">
        <v>347</v>
      </c>
      <c r="C5" s="52" t="s">
        <v>353</v>
      </c>
      <c r="D5" s="54" t="s">
        <v>354</v>
      </c>
      <c r="E5" s="52" t="s">
        <v>40</v>
      </c>
      <c r="F5" s="52" t="s">
        <v>355</v>
      </c>
      <c r="G5" s="52" t="s">
        <v>345</v>
      </c>
    </row>
    <row r="6" customFormat="false" ht="15" hidden="false" customHeight="true" outlineLevel="0" collapsed="false">
      <c r="A6" s="52" t="s">
        <v>356</v>
      </c>
      <c r="B6" s="52" t="s">
        <v>357</v>
      </c>
      <c r="C6" s="55" t="s">
        <v>358</v>
      </c>
      <c r="D6" s="54" t="s">
        <v>359</v>
      </c>
      <c r="E6" s="52" t="s">
        <v>360</v>
      </c>
      <c r="F6" s="52" t="s">
        <v>361</v>
      </c>
      <c r="G6" s="52" t="s">
        <v>345</v>
      </c>
    </row>
    <row r="7" customFormat="false" ht="15" hidden="false" customHeight="true" outlineLevel="0" collapsed="false">
      <c r="A7" s="52" t="s">
        <v>362</v>
      </c>
      <c r="B7" s="52" t="s">
        <v>363</v>
      </c>
      <c r="C7" s="55" t="s">
        <v>364</v>
      </c>
      <c r="D7" s="54" t="s">
        <v>365</v>
      </c>
      <c r="E7" s="52" t="s">
        <v>126</v>
      </c>
      <c r="F7" s="52" t="s">
        <v>366</v>
      </c>
      <c r="G7" s="52" t="s">
        <v>345</v>
      </c>
    </row>
    <row r="8" customFormat="false" ht="15" hidden="false" customHeight="true" outlineLevel="0" collapsed="false">
      <c r="A8" s="52" t="s">
        <v>367</v>
      </c>
      <c r="B8" s="52" t="s">
        <v>368</v>
      </c>
      <c r="C8" s="55" t="s">
        <v>369</v>
      </c>
      <c r="D8" s="54" t="s">
        <v>370</v>
      </c>
      <c r="E8" s="52" t="s">
        <v>40</v>
      </c>
      <c r="F8" s="52" t="s">
        <v>371</v>
      </c>
      <c r="G8" s="52" t="s">
        <v>345</v>
      </c>
    </row>
    <row r="9" customFormat="false" ht="15" hidden="false" customHeight="true" outlineLevel="0" collapsed="false">
      <c r="A9" s="52" t="s">
        <v>372</v>
      </c>
      <c r="B9" s="52" t="s">
        <v>373</v>
      </c>
      <c r="C9" s="52" t="s">
        <v>374</v>
      </c>
      <c r="D9" s="54" t="s">
        <v>375</v>
      </c>
      <c r="E9" s="52" t="s">
        <v>133</v>
      </c>
      <c r="F9" s="52" t="s">
        <v>376</v>
      </c>
      <c r="G9" s="52" t="s">
        <v>345</v>
      </c>
    </row>
    <row r="10" customFormat="false" ht="15" hidden="false" customHeight="true" outlineLevel="0" collapsed="false">
      <c r="A10" s="52" t="s">
        <v>377</v>
      </c>
      <c r="B10" s="52" t="s">
        <v>368</v>
      </c>
      <c r="C10" s="52" t="s">
        <v>378</v>
      </c>
      <c r="D10" s="54" t="s">
        <v>379</v>
      </c>
      <c r="E10" s="52" t="s">
        <v>133</v>
      </c>
      <c r="F10" s="52" t="s">
        <v>380</v>
      </c>
      <c r="G10" s="52" t="s">
        <v>345</v>
      </c>
    </row>
    <row r="11" customFormat="false" ht="15" hidden="false" customHeight="true" outlineLevel="0" collapsed="false">
      <c r="A11" s="52" t="s">
        <v>381</v>
      </c>
      <c r="B11" s="52" t="s">
        <v>363</v>
      </c>
      <c r="C11" s="52" t="s">
        <v>382</v>
      </c>
      <c r="D11" s="54" t="s">
        <v>39</v>
      </c>
      <c r="E11" s="52" t="s">
        <v>29</v>
      </c>
      <c r="F11" s="52" t="s">
        <v>383</v>
      </c>
      <c r="G11" s="52" t="s">
        <v>345</v>
      </c>
    </row>
    <row r="12" customFormat="false" ht="15" hidden="false" customHeight="true" outlineLevel="0" collapsed="false">
      <c r="A12" s="52" t="s">
        <v>384</v>
      </c>
      <c r="B12" s="52" t="s">
        <v>368</v>
      </c>
      <c r="C12" s="52" t="s">
        <v>385</v>
      </c>
      <c r="D12" s="54" t="s">
        <v>386</v>
      </c>
      <c r="E12" s="52" t="s">
        <v>126</v>
      </c>
      <c r="F12" s="52" t="s">
        <v>387</v>
      </c>
      <c r="G12" s="52" t="s">
        <v>345</v>
      </c>
    </row>
    <row r="13" customFormat="false" ht="15" hidden="false" customHeight="true" outlineLevel="0" collapsed="false">
      <c r="A13" s="52" t="s">
        <v>388</v>
      </c>
      <c r="B13" s="52" t="s">
        <v>341</v>
      </c>
      <c r="C13" s="52" t="s">
        <v>389</v>
      </c>
      <c r="D13" s="54" t="s">
        <v>390</v>
      </c>
      <c r="E13" s="52" t="s">
        <v>19</v>
      </c>
      <c r="F13" s="52" t="s">
        <v>391</v>
      </c>
      <c r="G13" s="52" t="s">
        <v>345</v>
      </c>
    </row>
    <row r="14" customFormat="false" ht="15" hidden="false" customHeight="true" outlineLevel="0" collapsed="false">
      <c r="A14" s="52" t="s">
        <v>392</v>
      </c>
      <c r="B14" s="52" t="s">
        <v>341</v>
      </c>
      <c r="C14" s="52" t="s">
        <v>393</v>
      </c>
      <c r="D14" s="54" t="s">
        <v>394</v>
      </c>
      <c r="E14" s="52" t="s">
        <v>19</v>
      </c>
      <c r="F14" s="52" t="s">
        <v>395</v>
      </c>
      <c r="G14" s="52" t="s">
        <v>345</v>
      </c>
    </row>
    <row r="15" customFormat="false" ht="15" hidden="false" customHeight="true" outlineLevel="0" collapsed="false">
      <c r="A15" s="52" t="s">
        <v>396</v>
      </c>
      <c r="B15" s="52" t="s">
        <v>347</v>
      </c>
      <c r="C15" s="52" t="s">
        <v>397</v>
      </c>
      <c r="D15" s="54" t="s">
        <v>398</v>
      </c>
      <c r="E15" s="52" t="s">
        <v>399</v>
      </c>
      <c r="F15" s="52" t="s">
        <v>400</v>
      </c>
      <c r="G15" s="52" t="s">
        <v>345</v>
      </c>
    </row>
    <row r="16" customFormat="false" ht="15" hidden="false" customHeight="true" outlineLevel="0" collapsed="false">
      <c r="A16" s="52" t="s">
        <v>401</v>
      </c>
      <c r="B16" s="52" t="s">
        <v>347</v>
      </c>
      <c r="C16" s="52" t="s">
        <v>402</v>
      </c>
      <c r="D16" s="54" t="s">
        <v>403</v>
      </c>
      <c r="E16" s="52" t="s">
        <v>404</v>
      </c>
      <c r="F16" s="52" t="s">
        <v>405</v>
      </c>
      <c r="G16" s="52" t="s">
        <v>345</v>
      </c>
    </row>
    <row r="17" customFormat="false" ht="15" hidden="false" customHeight="true" outlineLevel="0" collapsed="false">
      <c r="A17" s="52" t="s">
        <v>406</v>
      </c>
      <c r="B17" s="52" t="s">
        <v>368</v>
      </c>
      <c r="C17" s="52" t="s">
        <v>407</v>
      </c>
      <c r="D17" s="54" t="s">
        <v>408</v>
      </c>
      <c r="E17" s="52" t="s">
        <v>40</v>
      </c>
      <c r="F17" s="52" t="s">
        <v>409</v>
      </c>
      <c r="G17" s="52" t="s">
        <v>345</v>
      </c>
    </row>
    <row r="18" customFormat="false" ht="15" hidden="false" customHeight="true" outlineLevel="0" collapsed="false">
      <c r="A18" s="52" t="s">
        <v>410</v>
      </c>
      <c r="B18" s="52" t="s">
        <v>341</v>
      </c>
      <c r="C18" s="52" t="s">
        <v>411</v>
      </c>
      <c r="D18" s="54" t="s">
        <v>412</v>
      </c>
      <c r="E18" s="52" t="s">
        <v>413</v>
      </c>
      <c r="F18" s="52" t="s">
        <v>414</v>
      </c>
      <c r="G18" s="52" t="s">
        <v>345</v>
      </c>
    </row>
    <row r="19" customFormat="false" ht="15" hidden="false" customHeight="true" outlineLevel="0" collapsed="false">
      <c r="A19" s="52" t="s">
        <v>415</v>
      </c>
      <c r="B19" s="52" t="s">
        <v>416</v>
      </c>
      <c r="C19" s="52" t="s">
        <v>417</v>
      </c>
      <c r="D19" s="54" t="s">
        <v>418</v>
      </c>
      <c r="E19" s="52" t="s">
        <v>419</v>
      </c>
      <c r="F19" s="52" t="s">
        <v>420</v>
      </c>
      <c r="G19" s="52" t="s">
        <v>421</v>
      </c>
    </row>
    <row r="20" customFormat="false" ht="15" hidden="false" customHeight="true" outlineLevel="0" collapsed="false">
      <c r="A20" s="52" t="s">
        <v>422</v>
      </c>
      <c r="B20" s="52" t="s">
        <v>423</v>
      </c>
      <c r="C20" s="52" t="s">
        <v>424</v>
      </c>
      <c r="D20" s="54" t="s">
        <v>256</v>
      </c>
      <c r="E20" s="52" t="s">
        <v>425</v>
      </c>
      <c r="F20" s="52" t="s">
        <v>426</v>
      </c>
      <c r="G20" s="52" t="s">
        <v>421</v>
      </c>
      <c r="H20" s="56"/>
      <c r="I20" s="57" t="s">
        <v>427</v>
      </c>
      <c r="J20" s="57"/>
    </row>
    <row r="21" customFormat="false" ht="15" hidden="false" customHeight="true" outlineLevel="0" collapsed="false">
      <c r="A21" s="52" t="s">
        <v>428</v>
      </c>
      <c r="B21" s="52" t="s">
        <v>368</v>
      </c>
      <c r="C21" s="52" t="s">
        <v>429</v>
      </c>
      <c r="D21" s="54"/>
      <c r="E21" s="52" t="s">
        <v>430</v>
      </c>
      <c r="F21" s="52" t="s">
        <v>431</v>
      </c>
      <c r="H21" s="52" t="s">
        <v>432</v>
      </c>
      <c r="I21" s="58" t="s">
        <v>433</v>
      </c>
      <c r="J21" s="58"/>
    </row>
    <row r="22" customFormat="false" ht="15" hidden="false" customHeight="true" outlineLevel="0" collapsed="false">
      <c r="A22" s="52" t="s">
        <v>434</v>
      </c>
      <c r="B22" s="52" t="s">
        <v>416</v>
      </c>
      <c r="C22" s="52" t="s">
        <v>435</v>
      </c>
      <c r="D22" s="54" t="s">
        <v>436</v>
      </c>
      <c r="E22" s="52" t="s">
        <v>425</v>
      </c>
      <c r="F22" s="52" t="s">
        <v>437</v>
      </c>
      <c r="G22" s="52" t="s">
        <v>421</v>
      </c>
      <c r="I22" s="52" t="s">
        <v>438</v>
      </c>
    </row>
    <row r="23" customFormat="false" ht="15" hidden="false" customHeight="true" outlineLevel="0" collapsed="false">
      <c r="A23" s="52" t="s">
        <v>439</v>
      </c>
      <c r="B23" s="52" t="s">
        <v>440</v>
      </c>
      <c r="C23" s="52" t="s">
        <v>441</v>
      </c>
      <c r="D23" s="54" t="s">
        <v>442</v>
      </c>
      <c r="E23" s="52" t="s">
        <v>443</v>
      </c>
      <c r="F23" s="52" t="s">
        <v>444</v>
      </c>
      <c r="G23" s="52" t="s">
        <v>421</v>
      </c>
      <c r="I23" s="52" t="s">
        <v>445</v>
      </c>
    </row>
    <row r="24" customFormat="false" ht="15" hidden="false" customHeight="true" outlineLevel="0" collapsed="false">
      <c r="A24" s="52" t="s">
        <v>446</v>
      </c>
      <c r="B24" s="52" t="s">
        <v>440</v>
      </c>
      <c r="C24" s="52" t="s">
        <v>447</v>
      </c>
      <c r="D24" s="54" t="s">
        <v>448</v>
      </c>
      <c r="E24" s="52" t="s">
        <v>449</v>
      </c>
      <c r="F24" s="52" t="s">
        <v>450</v>
      </c>
      <c r="G24" s="52" t="s">
        <v>421</v>
      </c>
      <c r="I24" s="52" t="s">
        <v>451</v>
      </c>
    </row>
    <row r="25" customFormat="false" ht="15" hidden="false" customHeight="true" outlineLevel="0" collapsed="false">
      <c r="A25" s="52" t="s">
        <v>452</v>
      </c>
      <c r="B25" s="52" t="s">
        <v>440</v>
      </c>
      <c r="C25" s="52" t="s">
        <v>453</v>
      </c>
      <c r="D25" s="54" t="s">
        <v>454</v>
      </c>
      <c r="E25" s="52" t="s">
        <v>455</v>
      </c>
      <c r="F25" s="52" t="s">
        <v>456</v>
      </c>
      <c r="G25" s="52" t="s">
        <v>421</v>
      </c>
      <c r="H25" s="59" t="s">
        <v>457</v>
      </c>
      <c r="I25" s="52" t="s">
        <v>458</v>
      </c>
    </row>
    <row r="26" customFormat="false" ht="19.5" hidden="false" customHeight="true" outlineLevel="0" collapsed="false">
      <c r="A26" s="52" t="s">
        <v>459</v>
      </c>
      <c r="B26" s="52" t="s">
        <v>416</v>
      </c>
      <c r="C26" s="52" t="s">
        <v>460</v>
      </c>
      <c r="D26" s="54" t="s">
        <v>461</v>
      </c>
      <c r="E26" s="52" t="s">
        <v>462</v>
      </c>
      <c r="H26" s="59"/>
      <c r="I26" s="52" t="s">
        <v>463</v>
      </c>
    </row>
    <row r="27" customFormat="false" ht="15" hidden="false" customHeight="true" outlineLevel="0" collapsed="false">
      <c r="A27" s="52" t="s">
        <v>464</v>
      </c>
      <c r="B27" s="52" t="s">
        <v>416</v>
      </c>
      <c r="C27" s="52" t="s">
        <v>465</v>
      </c>
      <c r="D27" s="54" t="s">
        <v>466</v>
      </c>
      <c r="E27" s="52" t="s">
        <v>467</v>
      </c>
      <c r="H27" s="59"/>
      <c r="I27" s="52" t="s">
        <v>468</v>
      </c>
    </row>
    <row r="28" customFormat="false" ht="15" hidden="false" customHeight="true" outlineLevel="0" collapsed="false">
      <c r="A28" s="52" t="s">
        <v>469</v>
      </c>
      <c r="B28" s="52" t="s">
        <v>416</v>
      </c>
      <c r="C28" s="52" t="s">
        <v>470</v>
      </c>
      <c r="D28" s="54" t="s">
        <v>471</v>
      </c>
      <c r="I28" s="52" t="s">
        <v>472</v>
      </c>
    </row>
    <row r="29" customFormat="false" ht="15" hidden="false" customHeight="true" outlineLevel="0" collapsed="false">
      <c r="A29" s="52" t="s">
        <v>473</v>
      </c>
      <c r="B29" s="52" t="s">
        <v>474</v>
      </c>
      <c r="C29" s="52" t="s">
        <v>475</v>
      </c>
      <c r="D29" s="54"/>
      <c r="E29" s="52" t="s">
        <v>476</v>
      </c>
      <c r="I29" s="52" t="s">
        <v>477</v>
      </c>
    </row>
    <row r="30" customFormat="false" ht="15" hidden="false" customHeight="true" outlineLevel="0" collapsed="false">
      <c r="A30" s="52" t="s">
        <v>478</v>
      </c>
      <c r="B30" s="52" t="s">
        <v>416</v>
      </c>
      <c r="C30" s="52" t="s">
        <v>479</v>
      </c>
      <c r="D30" s="54" t="s">
        <v>480</v>
      </c>
      <c r="E30" s="52" t="s">
        <v>481</v>
      </c>
      <c r="F30" s="52" t="s">
        <v>482</v>
      </c>
      <c r="G30" s="52" t="s">
        <v>421</v>
      </c>
      <c r="I30" s="52" t="s">
        <v>483</v>
      </c>
    </row>
    <row r="31" customFormat="false" ht="15" hidden="false" customHeight="true" outlineLevel="0" collapsed="false">
      <c r="A31" s="52" t="s">
        <v>484</v>
      </c>
      <c r="B31" s="52" t="s">
        <v>485</v>
      </c>
      <c r="C31" s="52" t="s">
        <v>486</v>
      </c>
      <c r="D31" s="54" t="s">
        <v>487</v>
      </c>
      <c r="E31" s="52" t="s">
        <v>488</v>
      </c>
      <c r="I31" s="52" t="s">
        <v>489</v>
      </c>
    </row>
    <row r="32" customFormat="false" ht="15" hidden="false" customHeight="true" outlineLevel="0" collapsed="false">
      <c r="D32" s="54"/>
    </row>
    <row r="33" customFormat="false" ht="15" hidden="false" customHeight="true" outlineLevel="0" collapsed="false">
      <c r="D33" s="54"/>
    </row>
    <row r="34" customFormat="false" ht="15" hidden="false" customHeight="true" outlineLevel="0" collapsed="false">
      <c r="D34" s="54"/>
    </row>
    <row r="35" customFormat="false" ht="15" hidden="false" customHeight="true" outlineLevel="0" collapsed="false">
      <c r="D35" s="54"/>
    </row>
    <row r="36" customFormat="false" ht="15" hidden="false" customHeight="true" outlineLevel="0" collapsed="false">
      <c r="D36" s="54"/>
    </row>
    <row r="37" customFormat="false" ht="15" hidden="false" customHeight="true" outlineLevel="0" collapsed="false">
      <c r="D37" s="54"/>
    </row>
    <row r="38" customFormat="false" ht="15" hidden="false" customHeight="true" outlineLevel="0" collapsed="false">
      <c r="D38" s="54"/>
    </row>
    <row r="39" customFormat="false" ht="15" hidden="false" customHeight="true" outlineLevel="0" collapsed="false">
      <c r="D39" s="54"/>
    </row>
    <row r="40" customFormat="false" ht="15" hidden="false" customHeight="true" outlineLevel="0" collapsed="false">
      <c r="D40" s="54"/>
    </row>
    <row r="41" customFormat="false" ht="15" hidden="false" customHeight="true" outlineLevel="0" collapsed="false">
      <c r="D41" s="54"/>
    </row>
    <row r="42" customFormat="false" ht="15" hidden="false" customHeight="true" outlineLevel="0" collapsed="false">
      <c r="D42" s="54"/>
    </row>
    <row r="43" customFormat="false" ht="15" hidden="false" customHeight="true" outlineLevel="0" collapsed="false">
      <c r="D43" s="54"/>
    </row>
    <row r="44" customFormat="false" ht="15" hidden="false" customHeight="true" outlineLevel="0" collapsed="false">
      <c r="D44" s="54"/>
    </row>
    <row r="45" customFormat="false" ht="15" hidden="false" customHeight="true" outlineLevel="0" collapsed="false">
      <c r="D45" s="54"/>
    </row>
    <row r="46" customFormat="false" ht="15" hidden="false" customHeight="true" outlineLevel="0" collapsed="false">
      <c r="D46" s="54"/>
    </row>
    <row r="47" customFormat="false" ht="15" hidden="false" customHeight="true" outlineLevel="0" collapsed="false">
      <c r="D47" s="54"/>
    </row>
    <row r="48" customFormat="false" ht="15" hidden="false" customHeight="true" outlineLevel="0" collapsed="false">
      <c r="D48" s="54"/>
    </row>
    <row r="49" customFormat="false" ht="15" hidden="false" customHeight="true" outlineLevel="0" collapsed="false">
      <c r="D49" s="54"/>
    </row>
    <row r="50" customFormat="false" ht="15" hidden="false" customHeight="true" outlineLevel="0" collapsed="false">
      <c r="D50" s="54"/>
    </row>
    <row r="51" customFormat="false" ht="15" hidden="false" customHeight="true" outlineLevel="0" collapsed="false">
      <c r="D51" s="54"/>
    </row>
    <row r="52" customFormat="false" ht="15" hidden="false" customHeight="true" outlineLevel="0" collapsed="false">
      <c r="D52" s="54"/>
    </row>
    <row r="53" customFormat="false" ht="15" hidden="false" customHeight="true" outlineLevel="0" collapsed="false">
      <c r="D53" s="54"/>
    </row>
    <row r="54" customFormat="false" ht="15" hidden="false" customHeight="true" outlineLevel="0" collapsed="false">
      <c r="D54" s="54"/>
    </row>
    <row r="55" customFormat="false" ht="15" hidden="false" customHeight="true" outlineLevel="0" collapsed="false">
      <c r="D55" s="54"/>
    </row>
    <row r="56" customFormat="false" ht="15" hidden="false" customHeight="true" outlineLevel="0" collapsed="false">
      <c r="D56" s="54"/>
    </row>
    <row r="57" customFormat="false" ht="15" hidden="false" customHeight="true" outlineLevel="0" collapsed="false">
      <c r="D57" s="54"/>
    </row>
    <row r="58" customFormat="false" ht="15" hidden="false" customHeight="true" outlineLevel="0" collapsed="false">
      <c r="D58" s="54"/>
    </row>
    <row r="59" customFormat="false" ht="15" hidden="false" customHeight="true" outlineLevel="0" collapsed="false">
      <c r="D59" s="54"/>
    </row>
    <row r="60" customFormat="false" ht="15" hidden="false" customHeight="true" outlineLevel="0" collapsed="false">
      <c r="D60" s="5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5" min="4" style="52" width="45"/>
    <col collapsed="false" customWidth="true" hidden="false" outlineLevel="0" max="6" min="6" style="52" width="70"/>
    <col collapsed="false" customWidth="true" hidden="false" outlineLevel="0" max="7" min="7" style="52" width="12"/>
  </cols>
  <sheetData>
    <row r="1" customFormat="false" ht="15" hidden="false" customHeight="true" outlineLevel="0" collapsed="false">
      <c r="A1" s="60" t="s">
        <v>490</v>
      </c>
    </row>
    <row r="2" customFormat="false" ht="15" hidden="false" customHeight="true" outlineLevel="0" collapsed="false">
      <c r="A2" s="60" t="s">
        <v>491</v>
      </c>
    </row>
    <row r="3" customFormat="false" ht="15" hidden="false" customHeight="true" outlineLevel="0" collapsed="false">
      <c r="A3" s="60" t="s">
        <v>492</v>
      </c>
    </row>
    <row r="4" customFormat="false" ht="15" hidden="false" customHeight="true" outlineLevel="0" collapsed="false">
      <c r="A4" s="60" t="s">
        <v>493</v>
      </c>
    </row>
    <row r="5" customFormat="false" ht="15" hidden="false" customHeight="true" outlineLevel="0" collapsed="false">
      <c r="A5" s="60" t="s">
        <v>494</v>
      </c>
    </row>
    <row r="6" customFormat="false" ht="15" hidden="false" customHeight="true" outlineLevel="0" collapsed="false">
      <c r="A6" s="60" t="s">
        <v>495</v>
      </c>
    </row>
    <row r="7" customFormat="false" ht="15" hidden="false" customHeight="true" outlineLevel="0" collapsed="false">
      <c r="A7" s="60"/>
    </row>
    <row r="9" customFormat="false" ht="15" hidden="false" customHeight="true" outlineLevel="0" collapsed="false">
      <c r="A9" s="53" t="s">
        <v>496</v>
      </c>
      <c r="B9" s="53" t="s">
        <v>497</v>
      </c>
      <c r="C9" s="53" t="s">
        <v>498</v>
      </c>
      <c r="D9" s="53" t="s">
        <v>499</v>
      </c>
      <c r="E9" s="53" t="s">
        <v>500</v>
      </c>
      <c r="F9" s="53" t="s">
        <v>501</v>
      </c>
      <c r="G9" s="53" t="s">
        <v>502</v>
      </c>
    </row>
    <row r="10" customFormat="false" ht="15" hidden="false" customHeight="true" outlineLevel="0" collapsed="false">
      <c r="A10" s="61" t="n">
        <v>1</v>
      </c>
      <c r="B10" s="61" t="s">
        <v>503</v>
      </c>
      <c r="C10" s="61" t="s">
        <v>504</v>
      </c>
      <c r="D10" s="61" t="s">
        <v>505</v>
      </c>
      <c r="E10" s="61" t="s">
        <v>506</v>
      </c>
      <c r="F10" s="61" t="s">
        <v>507</v>
      </c>
      <c r="G10" s="61" t="s">
        <v>508</v>
      </c>
    </row>
    <row r="11" customFormat="false" ht="15" hidden="false" customHeight="true" outlineLevel="0" collapsed="false">
      <c r="A11" s="61" t="n">
        <v>2</v>
      </c>
      <c r="B11" s="61" t="s">
        <v>503</v>
      </c>
      <c r="C11" s="61" t="s">
        <v>509</v>
      </c>
      <c r="D11" s="61" t="s">
        <v>510</v>
      </c>
      <c r="E11" s="61" t="s">
        <v>72</v>
      </c>
      <c r="F11" s="61" t="s">
        <v>511</v>
      </c>
      <c r="G11" s="61" t="s">
        <v>508</v>
      </c>
    </row>
    <row r="12" customFormat="false" ht="15" hidden="false" customHeight="true" outlineLevel="0" collapsed="false">
      <c r="A12" s="61" t="n">
        <v>3</v>
      </c>
      <c r="B12" s="61" t="s">
        <v>503</v>
      </c>
      <c r="C12" s="61" t="s">
        <v>512</v>
      </c>
      <c r="D12" s="61" t="s">
        <v>513</v>
      </c>
      <c r="E12" s="61" t="s">
        <v>77</v>
      </c>
      <c r="F12" s="61" t="s">
        <v>511</v>
      </c>
      <c r="G12" s="61" t="s">
        <v>508</v>
      </c>
    </row>
    <row r="13" customFormat="false" ht="15" hidden="false" customHeight="true" outlineLevel="0" collapsed="false">
      <c r="A13" s="61" t="n">
        <v>4</v>
      </c>
      <c r="B13" s="61" t="s">
        <v>503</v>
      </c>
      <c r="C13" s="61" t="s">
        <v>514</v>
      </c>
      <c r="D13" s="61" t="s">
        <v>515</v>
      </c>
      <c r="E13" s="61" t="s">
        <v>82</v>
      </c>
      <c r="F13" s="61" t="s">
        <v>511</v>
      </c>
      <c r="G13" s="61" t="s">
        <v>508</v>
      </c>
    </row>
    <row r="14" customFormat="false" ht="15" hidden="false" customHeight="true" outlineLevel="0" collapsed="false">
      <c r="A14" s="61" t="n">
        <v>5</v>
      </c>
      <c r="B14" s="61" t="s">
        <v>503</v>
      </c>
      <c r="C14" s="61" t="s">
        <v>516</v>
      </c>
      <c r="D14" s="61" t="s">
        <v>517</v>
      </c>
      <c r="E14" s="61" t="s">
        <v>86</v>
      </c>
      <c r="F14" s="61" t="s">
        <v>511</v>
      </c>
      <c r="G14" s="61" t="s">
        <v>508</v>
      </c>
    </row>
    <row r="15" customFormat="false" ht="15" hidden="false" customHeight="true" outlineLevel="0" collapsed="false">
      <c r="A15" s="61" t="n">
        <v>6</v>
      </c>
      <c r="B15" s="61" t="s">
        <v>503</v>
      </c>
      <c r="C15" s="61" t="s">
        <v>518</v>
      </c>
      <c r="D15" s="61" t="s">
        <v>519</v>
      </c>
      <c r="E15" s="61" t="s">
        <v>520</v>
      </c>
      <c r="F15" s="61" t="s">
        <v>521</v>
      </c>
      <c r="G15" s="61" t="s">
        <v>508</v>
      </c>
    </row>
    <row r="16" customFormat="false" ht="23.25" hidden="false" customHeight="true" outlineLevel="0" collapsed="false">
      <c r="A16" s="61" t="n">
        <v>7</v>
      </c>
      <c r="B16" s="61" t="s">
        <v>503</v>
      </c>
      <c r="C16" s="61" t="s">
        <v>522</v>
      </c>
      <c r="D16" s="61" t="s">
        <v>523</v>
      </c>
      <c r="E16" s="61" t="s">
        <v>524</v>
      </c>
      <c r="F16" s="61" t="s">
        <v>525</v>
      </c>
      <c r="G16" s="61" t="s">
        <v>508</v>
      </c>
    </row>
    <row r="17" customFormat="false" ht="23.25" hidden="false" customHeight="true" outlineLevel="0" collapsed="false">
      <c r="A17" s="61" t="n">
        <v>8</v>
      </c>
      <c r="B17" s="61" t="s">
        <v>503</v>
      </c>
      <c r="C17" s="61" t="s">
        <v>526</v>
      </c>
      <c r="D17" s="61"/>
      <c r="E17" s="61" t="s">
        <v>527</v>
      </c>
      <c r="F17" s="61" t="s">
        <v>528</v>
      </c>
      <c r="G17" s="61" t="s">
        <v>508</v>
      </c>
    </row>
    <row r="18" customFormat="false" ht="15" hidden="false" customHeight="true" outlineLevel="0" collapsed="false">
      <c r="A18" s="61" t="n">
        <v>9</v>
      </c>
      <c r="B18" s="61" t="s">
        <v>503</v>
      </c>
      <c r="C18" s="61" t="s">
        <v>529</v>
      </c>
      <c r="D18" s="61"/>
      <c r="E18" s="61" t="s">
        <v>530</v>
      </c>
      <c r="F18" s="61" t="s">
        <v>531</v>
      </c>
      <c r="G18" s="61" t="s">
        <v>508</v>
      </c>
    </row>
    <row r="19" customFormat="false" ht="15" hidden="false" customHeight="true" outlineLevel="0" collapsed="false">
      <c r="A19" s="61" t="n">
        <v>10</v>
      </c>
      <c r="B19" s="61" t="s">
        <v>503</v>
      </c>
      <c r="C19" s="61" t="s">
        <v>532</v>
      </c>
      <c r="D19" s="61"/>
      <c r="E19" s="61" t="s">
        <v>533</v>
      </c>
      <c r="F19" s="61" t="s">
        <v>534</v>
      </c>
      <c r="G19" s="61" t="s">
        <v>508</v>
      </c>
    </row>
    <row r="20" customFormat="false" ht="15" hidden="false" customHeight="true" outlineLevel="0" collapsed="false">
      <c r="A20" s="61" t="n">
        <v>11</v>
      </c>
      <c r="B20" s="61" t="s">
        <v>503</v>
      </c>
      <c r="C20" s="61" t="s">
        <v>535</v>
      </c>
      <c r="D20" s="61"/>
      <c r="E20" s="61" t="s">
        <v>536</v>
      </c>
      <c r="F20" s="61" t="s">
        <v>537</v>
      </c>
      <c r="G20" s="61" t="s">
        <v>538</v>
      </c>
    </row>
    <row r="21" customFormat="false" ht="15" hidden="false" customHeight="true" outlineLevel="0" collapsed="false">
      <c r="A21" s="61" t="n">
        <v>12</v>
      </c>
      <c r="B21" s="61" t="s">
        <v>503</v>
      </c>
      <c r="C21" s="61" t="s">
        <v>539</v>
      </c>
      <c r="D21" s="61"/>
      <c r="E21" s="61" t="s">
        <v>540</v>
      </c>
      <c r="F21" s="61" t="s">
        <v>541</v>
      </c>
      <c r="G21" s="61" t="s">
        <v>538</v>
      </c>
    </row>
    <row r="22" customFormat="false" ht="15" hidden="false" customHeight="true" outlineLevel="0" collapsed="false">
      <c r="A22" s="61" t="n">
        <v>13</v>
      </c>
      <c r="B22" s="61" t="s">
        <v>503</v>
      </c>
      <c r="C22" s="61" t="s">
        <v>542</v>
      </c>
      <c r="D22" s="61"/>
      <c r="E22" s="61" t="s">
        <v>543</v>
      </c>
      <c r="F22" s="61" t="s">
        <v>544</v>
      </c>
      <c r="G22" s="61" t="s">
        <v>538</v>
      </c>
    </row>
    <row r="23" customFormat="false" ht="15" hidden="false" customHeight="true" outlineLevel="0" collapsed="false">
      <c r="A23" s="61" t="n">
        <v>14</v>
      </c>
      <c r="B23" s="61" t="s">
        <v>503</v>
      </c>
      <c r="C23" s="61" t="s">
        <v>545</v>
      </c>
      <c r="D23" s="61" t="s">
        <v>168</v>
      </c>
      <c r="E23" s="61" t="s">
        <v>216</v>
      </c>
      <c r="F23" s="61" t="s">
        <v>546</v>
      </c>
      <c r="G23" s="61" t="s">
        <v>508</v>
      </c>
    </row>
    <row r="24" customFormat="false" ht="23.25" hidden="false" customHeight="true" outlineLevel="0" collapsed="false">
      <c r="A24" s="61" t="n">
        <v>15</v>
      </c>
      <c r="B24" s="61" t="s">
        <v>503</v>
      </c>
      <c r="C24" s="61" t="s">
        <v>547</v>
      </c>
      <c r="D24" s="61" t="s">
        <v>311</v>
      </c>
      <c r="E24" s="61" t="s">
        <v>177</v>
      </c>
      <c r="F24" s="61" t="s">
        <v>548</v>
      </c>
      <c r="G24" s="61" t="s">
        <v>508</v>
      </c>
    </row>
    <row r="25" customFormat="false" ht="15" hidden="false" customHeight="true" outlineLevel="0" collapsed="false">
      <c r="A25" s="61" t="n">
        <v>16</v>
      </c>
      <c r="B25" s="61" t="s">
        <v>503</v>
      </c>
      <c r="C25" s="61" t="s">
        <v>549</v>
      </c>
      <c r="D25" s="61" t="s">
        <v>317</v>
      </c>
      <c r="E25" s="61" t="s">
        <v>180</v>
      </c>
      <c r="F25" s="61" t="s">
        <v>550</v>
      </c>
      <c r="G25" s="61" t="s">
        <v>508</v>
      </c>
    </row>
    <row r="26" customFormat="false" ht="23.25" hidden="false" customHeight="true" outlineLevel="0" collapsed="false">
      <c r="A26" s="61" t="n">
        <v>17</v>
      </c>
      <c r="B26" s="61" t="s">
        <v>503</v>
      </c>
      <c r="C26" s="61" t="s">
        <v>551</v>
      </c>
      <c r="D26" s="61" t="s">
        <v>552</v>
      </c>
      <c r="E26" s="61" t="s">
        <v>217</v>
      </c>
      <c r="F26" s="61" t="s">
        <v>553</v>
      </c>
      <c r="G26" s="61" t="s">
        <v>538</v>
      </c>
    </row>
    <row r="27" customFormat="false" ht="15" hidden="false" customHeight="true" outlineLevel="0" collapsed="false">
      <c r="A27" s="61" t="n">
        <v>18</v>
      </c>
      <c r="B27" s="61" t="s">
        <v>503</v>
      </c>
      <c r="C27" s="61" t="s">
        <v>554</v>
      </c>
      <c r="D27" s="61" t="s">
        <v>555</v>
      </c>
      <c r="E27" s="61" t="s">
        <v>224</v>
      </c>
      <c r="F27" s="61" t="s">
        <v>556</v>
      </c>
      <c r="G27" s="61" t="s">
        <v>508</v>
      </c>
    </row>
    <row r="28" customFormat="false" ht="23.25" hidden="false" customHeight="true" outlineLevel="0" collapsed="false">
      <c r="A28" s="61" t="n">
        <v>19</v>
      </c>
      <c r="B28" s="61" t="s">
        <v>503</v>
      </c>
      <c r="C28" s="61" t="s">
        <v>557</v>
      </c>
      <c r="D28" s="61" t="s">
        <v>558</v>
      </c>
      <c r="E28" s="61" t="s">
        <v>226</v>
      </c>
      <c r="F28" s="61" t="s">
        <v>559</v>
      </c>
      <c r="G28" s="61" t="s">
        <v>538</v>
      </c>
    </row>
    <row r="29" customFormat="false" ht="15" hidden="false" customHeight="true" outlineLevel="0" collapsed="false">
      <c r="A29" s="61" t="n">
        <v>20</v>
      </c>
      <c r="B29" s="61" t="s">
        <v>503</v>
      </c>
      <c r="C29" s="61" t="s">
        <v>560</v>
      </c>
      <c r="D29" s="61"/>
      <c r="E29" s="61" t="s">
        <v>227</v>
      </c>
      <c r="F29" s="61" t="s">
        <v>561</v>
      </c>
      <c r="G29" s="61" t="s">
        <v>508</v>
      </c>
    </row>
    <row r="30" customFormat="false" ht="15" hidden="false" customHeight="true" outlineLevel="0" collapsed="false">
      <c r="A30" s="61" t="n">
        <v>21</v>
      </c>
      <c r="B30" s="61" t="s">
        <v>503</v>
      </c>
      <c r="C30" s="61" t="s">
        <v>562</v>
      </c>
      <c r="D30" s="61"/>
      <c r="E30" s="61" t="s">
        <v>229</v>
      </c>
      <c r="F30" s="61" t="s">
        <v>563</v>
      </c>
      <c r="G30" s="61" t="s">
        <v>508</v>
      </c>
    </row>
    <row r="31" customFormat="false" ht="15" hidden="false" customHeight="true" outlineLevel="0" collapsed="false">
      <c r="A31" s="61" t="n">
        <v>22</v>
      </c>
      <c r="B31" s="61" t="s">
        <v>503</v>
      </c>
      <c r="C31" s="61" t="s">
        <v>564</v>
      </c>
      <c r="D31" s="61"/>
      <c r="E31" s="61" t="s">
        <v>230</v>
      </c>
      <c r="F31" s="61" t="s">
        <v>550</v>
      </c>
      <c r="G31" s="61" t="s">
        <v>508</v>
      </c>
    </row>
    <row r="32" customFormat="false" ht="15" hidden="false" customHeight="true" outlineLevel="0" collapsed="false">
      <c r="A32" s="61" t="n">
        <v>23</v>
      </c>
      <c r="B32" s="61" t="s">
        <v>503</v>
      </c>
      <c r="C32" s="61" t="s">
        <v>565</v>
      </c>
      <c r="D32" s="61" t="s">
        <v>566</v>
      </c>
      <c r="E32" s="61" t="s">
        <v>247</v>
      </c>
      <c r="F32" s="61" t="s">
        <v>567</v>
      </c>
      <c r="G32" s="61" t="s">
        <v>538</v>
      </c>
    </row>
    <row r="33" customFormat="false" ht="15" hidden="false" customHeight="true" outlineLevel="0" collapsed="false">
      <c r="A33" s="61" t="n">
        <v>24</v>
      </c>
      <c r="B33" s="61" t="s">
        <v>503</v>
      </c>
      <c r="C33" s="61" t="s">
        <v>568</v>
      </c>
      <c r="D33" s="61"/>
      <c r="E33" s="61" t="s">
        <v>91</v>
      </c>
      <c r="F33" s="61" t="s">
        <v>569</v>
      </c>
      <c r="G33" s="61" t="s">
        <v>508</v>
      </c>
    </row>
    <row r="34" customFormat="false" ht="15" hidden="false" customHeight="true" outlineLevel="0" collapsed="false">
      <c r="A34" s="61" t="n">
        <v>25</v>
      </c>
      <c r="B34" s="61" t="s">
        <v>503</v>
      </c>
      <c r="C34" s="61" t="s">
        <v>570</v>
      </c>
      <c r="D34" s="61"/>
      <c r="E34" s="61" t="s">
        <v>94</v>
      </c>
      <c r="F34" s="61" t="s">
        <v>550</v>
      </c>
      <c r="G34" s="61" t="s">
        <v>508</v>
      </c>
    </row>
    <row r="35" customFormat="false" ht="15" hidden="false" customHeight="true" outlineLevel="0" collapsed="false">
      <c r="A35" s="61" t="n">
        <v>26</v>
      </c>
      <c r="B35" s="61" t="s">
        <v>503</v>
      </c>
      <c r="C35" s="61" t="s">
        <v>571</v>
      </c>
      <c r="D35" s="61" t="s">
        <v>572</v>
      </c>
      <c r="E35" s="61" t="s">
        <v>255</v>
      </c>
      <c r="F35" s="61" t="s">
        <v>573</v>
      </c>
      <c r="G35" s="61" t="s">
        <v>508</v>
      </c>
    </row>
    <row r="36" customFormat="false" ht="15" hidden="false" customHeight="true" outlineLevel="0" collapsed="false">
      <c r="A36" s="61" t="n">
        <v>27</v>
      </c>
      <c r="B36" s="61" t="s">
        <v>503</v>
      </c>
      <c r="C36" s="61" t="s">
        <v>574</v>
      </c>
      <c r="D36" s="61"/>
      <c r="E36" s="61" t="s">
        <v>227</v>
      </c>
      <c r="F36" s="61" t="s">
        <v>575</v>
      </c>
      <c r="G36" s="61" t="s">
        <v>508</v>
      </c>
    </row>
    <row r="37" customFormat="false" ht="34.5" hidden="false" customHeight="true" outlineLevel="0" collapsed="false">
      <c r="A37" s="61" t="n">
        <v>28</v>
      </c>
      <c r="B37" s="61" t="s">
        <v>503</v>
      </c>
      <c r="C37" s="61" t="s">
        <v>576</v>
      </c>
      <c r="D37" s="61" t="s">
        <v>177</v>
      </c>
      <c r="E37" s="61" t="s">
        <v>215</v>
      </c>
      <c r="F37" s="61" t="s">
        <v>577</v>
      </c>
      <c r="G37" s="61" t="s">
        <v>538</v>
      </c>
    </row>
    <row r="38" customFormat="false" ht="15" hidden="false" customHeight="true" outlineLevel="0" collapsed="false">
      <c r="A38" s="61" t="n">
        <v>29</v>
      </c>
      <c r="B38" s="61" t="s">
        <v>503</v>
      </c>
      <c r="C38" s="61" t="s">
        <v>578</v>
      </c>
      <c r="D38" s="61" t="s">
        <v>180</v>
      </c>
      <c r="E38" s="61" t="s">
        <v>219</v>
      </c>
      <c r="F38" s="61" t="s">
        <v>550</v>
      </c>
      <c r="G38" s="61" t="s">
        <v>538</v>
      </c>
    </row>
    <row r="39" customFormat="false" ht="15" hidden="false" customHeight="true" outlineLevel="0" collapsed="false">
      <c r="A39" s="61" t="n">
        <v>30</v>
      </c>
      <c r="B39" s="61" t="s">
        <v>503</v>
      </c>
      <c r="C39" s="61" t="s">
        <v>579</v>
      </c>
      <c r="D39" s="61" t="s">
        <v>272</v>
      </c>
      <c r="E39" s="61" t="s">
        <v>580</v>
      </c>
      <c r="F39" s="61" t="s">
        <v>581</v>
      </c>
      <c r="G39" s="61" t="s">
        <v>508</v>
      </c>
    </row>
    <row r="40" customFormat="false" ht="15" hidden="false" customHeight="true" outlineLevel="0" collapsed="false">
      <c r="A40" s="61" t="n">
        <v>31</v>
      </c>
      <c r="B40" s="61" t="s">
        <v>503</v>
      </c>
      <c r="C40" s="61" t="s">
        <v>582</v>
      </c>
      <c r="D40" s="61" t="s">
        <v>272</v>
      </c>
      <c r="E40" s="61" t="s">
        <v>580</v>
      </c>
      <c r="F40" s="61" t="s">
        <v>581</v>
      </c>
      <c r="G40" s="61" t="s">
        <v>508</v>
      </c>
    </row>
    <row r="41" customFormat="false" ht="15" hidden="false" customHeight="true" outlineLevel="0" collapsed="false">
      <c r="A41" s="61" t="n">
        <v>32</v>
      </c>
      <c r="B41" s="61" t="s">
        <v>503</v>
      </c>
      <c r="C41" s="61" t="s">
        <v>583</v>
      </c>
      <c r="D41" s="61" t="s">
        <v>272</v>
      </c>
      <c r="E41" s="61" t="s">
        <v>580</v>
      </c>
      <c r="F41" s="61" t="s">
        <v>581</v>
      </c>
      <c r="G41" s="61" t="s">
        <v>508</v>
      </c>
    </row>
    <row r="42" customFormat="false" ht="15" hidden="false" customHeight="true" outlineLevel="0" collapsed="false">
      <c r="A42" s="61" t="n">
        <v>33</v>
      </c>
      <c r="B42" s="61" t="s">
        <v>503</v>
      </c>
      <c r="C42" s="61" t="s">
        <v>584</v>
      </c>
      <c r="D42" s="61" t="s">
        <v>272</v>
      </c>
      <c r="E42" s="61" t="s">
        <v>580</v>
      </c>
      <c r="F42" s="61" t="s">
        <v>581</v>
      </c>
      <c r="G42" s="61" t="s">
        <v>508</v>
      </c>
    </row>
    <row r="43" customFormat="false" ht="15" hidden="false" customHeight="true" outlineLevel="0" collapsed="false">
      <c r="A43" s="61" t="n">
        <v>34</v>
      </c>
      <c r="B43" s="61" t="s">
        <v>503</v>
      </c>
      <c r="C43" s="61" t="s">
        <v>585</v>
      </c>
      <c r="D43" s="61" t="s">
        <v>272</v>
      </c>
      <c r="E43" s="61" t="s">
        <v>580</v>
      </c>
      <c r="F43" s="61" t="s">
        <v>581</v>
      </c>
      <c r="G43" s="61" t="s">
        <v>508</v>
      </c>
    </row>
    <row r="44" customFormat="false" ht="15" hidden="false" customHeight="true" outlineLevel="0" collapsed="false">
      <c r="A44" s="61" t="n">
        <v>35</v>
      </c>
      <c r="B44" s="61" t="s">
        <v>503</v>
      </c>
      <c r="C44" s="61" t="s">
        <v>586</v>
      </c>
      <c r="D44" s="61" t="s">
        <v>580</v>
      </c>
      <c r="E44" s="61" t="s">
        <v>587</v>
      </c>
      <c r="F44" s="61" t="s">
        <v>588</v>
      </c>
      <c r="G44" s="61" t="s">
        <v>508</v>
      </c>
    </row>
    <row r="45" customFormat="false" ht="15" hidden="false" customHeight="true" outlineLevel="0" collapsed="false">
      <c r="A45" s="61" t="n">
        <v>36</v>
      </c>
      <c r="B45" s="61" t="s">
        <v>503</v>
      </c>
      <c r="C45" s="61" t="s">
        <v>589</v>
      </c>
      <c r="D45" s="61" t="s">
        <v>580</v>
      </c>
      <c r="E45" s="61" t="s">
        <v>587</v>
      </c>
      <c r="F45" s="61" t="s">
        <v>588</v>
      </c>
      <c r="G45" s="61" t="s">
        <v>508</v>
      </c>
    </row>
    <row r="46" customFormat="false" ht="15" hidden="false" customHeight="true" outlineLevel="0" collapsed="false">
      <c r="A46" s="61" t="n">
        <v>37</v>
      </c>
      <c r="B46" s="61" t="s">
        <v>503</v>
      </c>
      <c r="C46" s="61" t="s">
        <v>590</v>
      </c>
      <c r="D46" s="61" t="s">
        <v>591</v>
      </c>
      <c r="E46" s="61" t="s">
        <v>200</v>
      </c>
      <c r="F46" s="61" t="s">
        <v>592</v>
      </c>
      <c r="G46" s="61" t="s">
        <v>538</v>
      </c>
    </row>
    <row r="47" customFormat="false" ht="15" hidden="false" customHeight="true" outlineLevel="0" collapsed="false">
      <c r="A47" s="61" t="n">
        <v>38</v>
      </c>
      <c r="B47" s="61" t="s">
        <v>503</v>
      </c>
      <c r="C47" s="61" t="s">
        <v>593</v>
      </c>
      <c r="D47" s="61" t="s">
        <v>272</v>
      </c>
      <c r="E47" s="61" t="s">
        <v>594</v>
      </c>
      <c r="F47" s="61" t="s">
        <v>595</v>
      </c>
      <c r="G47" s="61" t="s">
        <v>508</v>
      </c>
    </row>
    <row r="48" customFormat="false" ht="15" hidden="false" customHeight="true" outlineLevel="0" collapsed="false">
      <c r="A48" s="61" t="n">
        <v>39</v>
      </c>
      <c r="B48" s="61" t="s">
        <v>503</v>
      </c>
      <c r="C48" s="61" t="s">
        <v>596</v>
      </c>
      <c r="D48" s="61" t="s">
        <v>272</v>
      </c>
      <c r="E48" s="61" t="s">
        <v>594</v>
      </c>
      <c r="F48" s="61" t="s">
        <v>595</v>
      </c>
      <c r="G48" s="61" t="s">
        <v>508</v>
      </c>
    </row>
    <row r="49" customFormat="false" ht="15" hidden="false" customHeight="true" outlineLevel="0" collapsed="false">
      <c r="A49" s="61" t="n">
        <v>40</v>
      </c>
      <c r="B49" s="61" t="s">
        <v>503</v>
      </c>
      <c r="C49" s="61" t="s">
        <v>597</v>
      </c>
      <c r="D49" s="61" t="s">
        <v>272</v>
      </c>
      <c r="E49" s="61" t="s">
        <v>594</v>
      </c>
      <c r="F49" s="61" t="s">
        <v>595</v>
      </c>
      <c r="G49" s="61" t="s">
        <v>508</v>
      </c>
    </row>
    <row r="50" customFormat="false" ht="15" hidden="false" customHeight="true" outlineLevel="0" collapsed="false">
      <c r="A50" s="61" t="n">
        <v>41</v>
      </c>
      <c r="B50" s="61" t="s">
        <v>503</v>
      </c>
      <c r="C50" s="61" t="s">
        <v>598</v>
      </c>
      <c r="D50" s="61"/>
      <c r="E50" s="61" t="s">
        <v>43</v>
      </c>
      <c r="F50" s="61" t="s">
        <v>599</v>
      </c>
      <c r="G50" s="61" t="s">
        <v>508</v>
      </c>
    </row>
    <row r="51" customFormat="false" ht="15" hidden="false" customHeight="true" outlineLevel="0" collapsed="false">
      <c r="A51" s="61" t="n">
        <v>42</v>
      </c>
      <c r="B51" s="61" t="s">
        <v>503</v>
      </c>
      <c r="C51" s="61" t="s">
        <v>600</v>
      </c>
      <c r="D51" s="61"/>
      <c r="E51" s="61" t="s">
        <v>601</v>
      </c>
      <c r="F51" s="61" t="s">
        <v>602</v>
      </c>
      <c r="G51" s="61" t="s">
        <v>508</v>
      </c>
    </row>
    <row r="52" customFormat="false" ht="15" hidden="false" customHeight="true" outlineLevel="0" collapsed="false">
      <c r="A52" s="61" t="n">
        <v>43</v>
      </c>
      <c r="B52" s="61" t="s">
        <v>503</v>
      </c>
      <c r="C52" s="61" t="s">
        <v>603</v>
      </c>
      <c r="D52" s="61"/>
      <c r="E52" s="61" t="s">
        <v>129</v>
      </c>
      <c r="F52" s="61" t="s">
        <v>604</v>
      </c>
      <c r="G52" s="61" t="s">
        <v>508</v>
      </c>
    </row>
    <row r="53" customFormat="false" ht="15" hidden="false" customHeight="true" outlineLevel="0" collapsed="false">
      <c r="A53" s="61" t="n">
        <v>44</v>
      </c>
      <c r="B53" s="61" t="s">
        <v>503</v>
      </c>
      <c r="C53" s="61" t="s">
        <v>605</v>
      </c>
      <c r="D53" s="61"/>
      <c r="E53" s="61" t="s">
        <v>126</v>
      </c>
      <c r="F53" s="61" t="s">
        <v>550</v>
      </c>
      <c r="G53" s="61" t="s">
        <v>508</v>
      </c>
    </row>
    <row r="54" customFormat="false" ht="23.25" hidden="false" customHeight="true" outlineLevel="0" collapsed="false">
      <c r="A54" s="61" t="n">
        <v>45</v>
      </c>
      <c r="B54" s="61" t="s">
        <v>503</v>
      </c>
      <c r="C54" s="61" t="s">
        <v>606</v>
      </c>
      <c r="D54" s="61" t="s">
        <v>43</v>
      </c>
      <c r="E54" s="61" t="s">
        <v>313</v>
      </c>
      <c r="F54" s="61" t="s">
        <v>607</v>
      </c>
      <c r="G54" s="61" t="s">
        <v>508</v>
      </c>
    </row>
    <row r="55" customFormat="false" ht="15" hidden="false" customHeight="true" outlineLevel="0" collapsed="false">
      <c r="A55" s="61" t="n">
        <v>46</v>
      </c>
      <c r="B55" s="61" t="s">
        <v>503</v>
      </c>
      <c r="C55" s="61" t="s">
        <v>608</v>
      </c>
      <c r="D55" s="61" t="s">
        <v>43</v>
      </c>
      <c r="E55" s="61" t="s">
        <v>313</v>
      </c>
      <c r="F55" s="61" t="s">
        <v>550</v>
      </c>
      <c r="G55" s="61" t="s">
        <v>508</v>
      </c>
    </row>
    <row r="56" customFormat="false" ht="23.25" hidden="false" customHeight="true" outlineLevel="0" collapsed="false">
      <c r="A56" s="61" t="n">
        <v>47</v>
      </c>
      <c r="B56" s="61" t="s">
        <v>503</v>
      </c>
      <c r="C56" s="61" t="s">
        <v>609</v>
      </c>
      <c r="D56" s="61" t="s">
        <v>610</v>
      </c>
      <c r="E56" s="61" t="s">
        <v>190</v>
      </c>
      <c r="F56" s="61" t="s">
        <v>611</v>
      </c>
      <c r="G56" s="61" t="s">
        <v>508</v>
      </c>
    </row>
    <row r="57" customFormat="false" ht="23.25" hidden="false" customHeight="true" outlineLevel="0" collapsed="false">
      <c r="A57" s="61" t="n">
        <v>48</v>
      </c>
      <c r="B57" s="61" t="s">
        <v>503</v>
      </c>
      <c r="C57" s="61" t="s">
        <v>612</v>
      </c>
      <c r="D57" s="61" t="s">
        <v>613</v>
      </c>
      <c r="E57" s="61" t="s">
        <v>195</v>
      </c>
      <c r="F57" s="61" t="s">
        <v>611</v>
      </c>
      <c r="G57" s="61" t="s">
        <v>508</v>
      </c>
    </row>
    <row r="58" customFormat="false" ht="23.25" hidden="false" customHeight="true" outlineLevel="0" collapsed="false">
      <c r="A58" s="61" t="n">
        <v>49</v>
      </c>
      <c r="B58" s="61" t="s">
        <v>503</v>
      </c>
      <c r="C58" s="61" t="s">
        <v>614</v>
      </c>
      <c r="D58" s="61" t="s">
        <v>615</v>
      </c>
      <c r="E58" s="61" t="s">
        <v>202</v>
      </c>
      <c r="F58" s="61" t="s">
        <v>611</v>
      </c>
      <c r="G58" s="61" t="s">
        <v>508</v>
      </c>
    </row>
    <row r="59" customFormat="false" ht="23.25" hidden="false" customHeight="true" outlineLevel="0" collapsed="false">
      <c r="A59" s="61" t="n">
        <v>50</v>
      </c>
      <c r="B59" s="61" t="s">
        <v>503</v>
      </c>
      <c r="C59" s="61" t="s">
        <v>616</v>
      </c>
      <c r="D59" s="61" t="s">
        <v>617</v>
      </c>
      <c r="E59" s="61" t="s">
        <v>209</v>
      </c>
      <c r="F59" s="61" t="s">
        <v>611</v>
      </c>
      <c r="G59" s="61" t="s">
        <v>508</v>
      </c>
    </row>
    <row r="60" customFormat="false" ht="23.25" hidden="false" customHeight="true" outlineLevel="0" collapsed="false">
      <c r="A60" s="61" t="n">
        <v>51</v>
      </c>
      <c r="B60" s="61" t="s">
        <v>503</v>
      </c>
      <c r="C60" s="61" t="s">
        <v>618</v>
      </c>
      <c r="D60" s="61" t="s">
        <v>311</v>
      </c>
      <c r="E60" s="61" t="s">
        <v>220</v>
      </c>
      <c r="F60" s="61" t="s">
        <v>611</v>
      </c>
      <c r="G60" s="61" t="s">
        <v>508</v>
      </c>
    </row>
    <row r="61" customFormat="false" ht="23.25" hidden="false" customHeight="true" outlineLevel="0" collapsed="false">
      <c r="A61" s="61" t="n">
        <v>52</v>
      </c>
      <c r="B61" s="61" t="s">
        <v>503</v>
      </c>
      <c r="C61" s="61" t="s">
        <v>619</v>
      </c>
      <c r="D61" s="61"/>
      <c r="E61" s="61" t="s">
        <v>237</v>
      </c>
      <c r="F61" s="61" t="s">
        <v>611</v>
      </c>
      <c r="G61" s="61" t="s">
        <v>508</v>
      </c>
    </row>
    <row r="62" customFormat="false" ht="23.25" hidden="false" customHeight="true" outlineLevel="0" collapsed="false">
      <c r="A62" s="61" t="n">
        <v>53</v>
      </c>
      <c r="B62" s="61" t="s">
        <v>503</v>
      </c>
      <c r="C62" s="61" t="s">
        <v>620</v>
      </c>
      <c r="D62" s="61"/>
      <c r="E62" s="61" t="s">
        <v>242</v>
      </c>
      <c r="F62" s="61" t="s">
        <v>611</v>
      </c>
      <c r="G62" s="61" t="s">
        <v>508</v>
      </c>
    </row>
    <row r="63" customFormat="false" ht="15" hidden="false" customHeight="true" outlineLevel="0" collapsed="false">
      <c r="A63" s="61" t="n">
        <v>54</v>
      </c>
      <c r="B63" s="61" t="s">
        <v>503</v>
      </c>
      <c r="C63" s="61" t="s">
        <v>621</v>
      </c>
      <c r="D63" s="61"/>
      <c r="E63" s="61" t="s">
        <v>622</v>
      </c>
      <c r="F63" s="61" t="s">
        <v>623</v>
      </c>
      <c r="G63" s="61" t="s">
        <v>508</v>
      </c>
    </row>
    <row r="64" customFormat="false" ht="15" hidden="false" customHeight="true" outlineLevel="0" collapsed="false">
      <c r="A64" s="61" t="n">
        <v>55</v>
      </c>
      <c r="B64" s="61" t="s">
        <v>503</v>
      </c>
      <c r="C64" s="61" t="s">
        <v>624</v>
      </c>
      <c r="D64" s="61" t="s">
        <v>625</v>
      </c>
      <c r="E64" s="61" t="s">
        <v>626</v>
      </c>
      <c r="F64" s="61" t="s">
        <v>623</v>
      </c>
      <c r="G64" s="61" t="s">
        <v>508</v>
      </c>
    </row>
    <row r="65" customFormat="false" ht="15" hidden="false" customHeight="true" outlineLevel="0" collapsed="false">
      <c r="A65" s="61" t="n">
        <v>56</v>
      </c>
      <c r="B65" s="61" t="s">
        <v>503</v>
      </c>
      <c r="C65" s="61" t="s">
        <v>627</v>
      </c>
      <c r="D65" s="61" t="s">
        <v>628</v>
      </c>
      <c r="E65" s="61" t="s">
        <v>629</v>
      </c>
      <c r="F65" s="61" t="s">
        <v>623</v>
      </c>
      <c r="G65" s="61" t="s">
        <v>508</v>
      </c>
    </row>
    <row r="66" customFormat="false" ht="15" hidden="false" customHeight="true" outlineLevel="0" collapsed="false">
      <c r="A66" s="61" t="n">
        <v>57</v>
      </c>
      <c r="B66" s="61" t="s">
        <v>503</v>
      </c>
      <c r="C66" s="61" t="s">
        <v>630</v>
      </c>
      <c r="D66" s="61" t="s">
        <v>129</v>
      </c>
      <c r="E66" s="61" t="s">
        <v>151</v>
      </c>
      <c r="F66" s="61" t="s">
        <v>631</v>
      </c>
      <c r="G66" s="61" t="s">
        <v>508</v>
      </c>
    </row>
    <row r="67" customFormat="false" ht="15" hidden="false" customHeight="true" outlineLevel="0" collapsed="false">
      <c r="A67" s="61" t="n">
        <v>58</v>
      </c>
      <c r="B67" s="61" t="s">
        <v>503</v>
      </c>
      <c r="C67" s="61" t="s">
        <v>632</v>
      </c>
      <c r="D67" s="61" t="s">
        <v>633</v>
      </c>
      <c r="E67" s="61" t="s">
        <v>634</v>
      </c>
      <c r="F67" s="61" t="s">
        <v>635</v>
      </c>
      <c r="G67" s="61" t="s">
        <v>508</v>
      </c>
    </row>
    <row r="68" customFormat="false" ht="15" hidden="false" customHeight="true" outlineLevel="0" collapsed="false">
      <c r="A68" s="61" t="n">
        <v>59</v>
      </c>
      <c r="B68" s="61" t="s">
        <v>503</v>
      </c>
      <c r="C68" s="61" t="s">
        <v>636</v>
      </c>
      <c r="D68" s="61"/>
      <c r="E68" s="61" t="s">
        <v>637</v>
      </c>
      <c r="F68" s="61" t="s">
        <v>638</v>
      </c>
      <c r="G68" s="61" t="s">
        <v>508</v>
      </c>
    </row>
    <row r="69" customFormat="false" ht="15" hidden="false" customHeight="true" outlineLevel="0" collapsed="false">
      <c r="A69" s="61" t="n">
        <v>60</v>
      </c>
      <c r="B69" s="61" t="s">
        <v>503</v>
      </c>
      <c r="C69" s="61" t="s">
        <v>639</v>
      </c>
      <c r="D69" s="61" t="s">
        <v>640</v>
      </c>
      <c r="E69" s="61" t="s">
        <v>641</v>
      </c>
      <c r="F69" s="61" t="s">
        <v>642</v>
      </c>
      <c r="G69" s="61" t="s">
        <v>508</v>
      </c>
    </row>
    <row r="70" customFormat="false" ht="15" hidden="false" customHeight="true" outlineLevel="0" collapsed="false">
      <c r="A70" s="61" t="n">
        <v>61</v>
      </c>
      <c r="B70" s="61" t="s">
        <v>643</v>
      </c>
      <c r="C70" s="61" t="s">
        <v>644</v>
      </c>
      <c r="D70" s="61" t="s">
        <v>645</v>
      </c>
      <c r="E70" s="61" t="s">
        <v>646</v>
      </c>
      <c r="F70" s="61" t="s">
        <v>647</v>
      </c>
      <c r="G70" s="61" t="s">
        <v>508</v>
      </c>
    </row>
    <row r="71" customFormat="false" ht="34.5" hidden="false" customHeight="true" outlineLevel="0" collapsed="false">
      <c r="A71" s="61" t="n">
        <v>62</v>
      </c>
      <c r="B71" s="61" t="s">
        <v>643</v>
      </c>
      <c r="C71" s="61" t="s">
        <v>648</v>
      </c>
      <c r="D71" s="61" t="s">
        <v>649</v>
      </c>
      <c r="E71" s="61" t="s">
        <v>650</v>
      </c>
      <c r="F71" s="61" t="s">
        <v>651</v>
      </c>
      <c r="G71" s="61" t="s">
        <v>508</v>
      </c>
    </row>
    <row r="72" customFormat="false" ht="23.25" hidden="false" customHeight="true" outlineLevel="0" collapsed="false">
      <c r="A72" s="61" t="n">
        <v>63</v>
      </c>
      <c r="B72" s="61" t="s">
        <v>643</v>
      </c>
      <c r="C72" s="61" t="s">
        <v>652</v>
      </c>
      <c r="D72" s="61" t="s">
        <v>653</v>
      </c>
      <c r="E72" s="61" t="s">
        <v>654</v>
      </c>
      <c r="F72" s="61" t="s">
        <v>655</v>
      </c>
      <c r="G72" s="61" t="s">
        <v>538</v>
      </c>
    </row>
    <row r="73" customFormat="false" ht="23.25" hidden="false" customHeight="true" outlineLevel="0" collapsed="false">
      <c r="A73" s="61" t="n">
        <v>64</v>
      </c>
      <c r="B73" s="61" t="s">
        <v>643</v>
      </c>
      <c r="C73" s="61" t="s">
        <v>656</v>
      </c>
      <c r="D73" s="61"/>
      <c r="E73" s="61" t="s">
        <v>657</v>
      </c>
      <c r="F73" s="61" t="s">
        <v>658</v>
      </c>
      <c r="G73" s="61" t="s">
        <v>508</v>
      </c>
    </row>
    <row r="74" customFormat="false" ht="23.25" hidden="false" customHeight="true" outlineLevel="0" collapsed="false">
      <c r="A74" s="61" t="n">
        <v>65</v>
      </c>
      <c r="B74" s="61" t="s">
        <v>643</v>
      </c>
      <c r="C74" s="61" t="s">
        <v>659</v>
      </c>
      <c r="D74" s="61"/>
      <c r="E74" s="61" t="s">
        <v>660</v>
      </c>
      <c r="F74" s="61" t="s">
        <v>658</v>
      </c>
      <c r="G74" s="61" t="s">
        <v>508</v>
      </c>
    </row>
    <row r="75" customFormat="false" ht="23.25" hidden="false" customHeight="true" outlineLevel="0" collapsed="false">
      <c r="A75" s="61" t="n">
        <v>66</v>
      </c>
      <c r="B75" s="61" t="s">
        <v>643</v>
      </c>
      <c r="C75" s="61" t="s">
        <v>661</v>
      </c>
      <c r="D75" s="61"/>
      <c r="E75" s="61" t="s">
        <v>662</v>
      </c>
      <c r="F75" s="61" t="s">
        <v>658</v>
      </c>
      <c r="G75" s="61" t="s">
        <v>508</v>
      </c>
    </row>
    <row r="76" customFormat="false" ht="23.25" hidden="false" customHeight="true" outlineLevel="0" collapsed="false">
      <c r="A76" s="61" t="n">
        <v>67</v>
      </c>
      <c r="B76" s="61" t="s">
        <v>643</v>
      </c>
      <c r="C76" s="61" t="s">
        <v>663</v>
      </c>
      <c r="D76" s="61"/>
      <c r="E76" s="61" t="s">
        <v>664</v>
      </c>
      <c r="F76" s="61" t="s">
        <v>658</v>
      </c>
      <c r="G76" s="61" t="s">
        <v>508</v>
      </c>
    </row>
    <row r="77" customFormat="false" ht="23.25" hidden="false" customHeight="true" outlineLevel="0" collapsed="false">
      <c r="A77" s="61" t="n">
        <v>68</v>
      </c>
      <c r="B77" s="61" t="s">
        <v>643</v>
      </c>
      <c r="C77" s="61" t="s">
        <v>665</v>
      </c>
      <c r="D77" s="61"/>
      <c r="E77" s="61" t="s">
        <v>666</v>
      </c>
      <c r="F77" s="61" t="s">
        <v>658</v>
      </c>
      <c r="G77" s="61" t="s">
        <v>508</v>
      </c>
    </row>
    <row r="78" customFormat="false" ht="15" hidden="false" customHeight="true" outlineLevel="0" collapsed="false">
      <c r="A78" s="61" t="n">
        <v>69</v>
      </c>
      <c r="B78" s="61" t="s">
        <v>643</v>
      </c>
      <c r="C78" s="61" t="s">
        <v>667</v>
      </c>
      <c r="D78" s="61"/>
      <c r="E78" s="61" t="s">
        <v>460</v>
      </c>
      <c r="F78" s="61" t="s">
        <v>658</v>
      </c>
      <c r="G78" s="61" t="s">
        <v>508</v>
      </c>
    </row>
    <row r="79" customFormat="false" ht="23.25" hidden="false" customHeight="true" outlineLevel="0" collapsed="false">
      <c r="A79" s="61" t="n">
        <v>70</v>
      </c>
      <c r="B79" s="61" t="s">
        <v>643</v>
      </c>
      <c r="C79" s="61" t="s">
        <v>668</v>
      </c>
      <c r="D79" s="61"/>
      <c r="E79" s="61" t="s">
        <v>465</v>
      </c>
      <c r="F79" s="61" t="s">
        <v>658</v>
      </c>
      <c r="G79" s="61" t="s">
        <v>508</v>
      </c>
    </row>
    <row r="80" customFormat="false" ht="23.25" hidden="false" customHeight="true" outlineLevel="0" collapsed="false">
      <c r="A80" s="61" t="n">
        <v>71</v>
      </c>
      <c r="B80" s="61" t="s">
        <v>643</v>
      </c>
      <c r="C80" s="61" t="s">
        <v>669</v>
      </c>
      <c r="D80" s="61"/>
      <c r="E80" s="61" t="s">
        <v>470</v>
      </c>
      <c r="F80" s="61" t="s">
        <v>658</v>
      </c>
      <c r="G80" s="61" t="s">
        <v>508</v>
      </c>
    </row>
    <row r="81" customFormat="false" ht="23.25" hidden="false" customHeight="true" outlineLevel="0" collapsed="false">
      <c r="A81" s="61" t="n">
        <v>72</v>
      </c>
      <c r="B81" s="61" t="s">
        <v>643</v>
      </c>
      <c r="C81" s="61" t="s">
        <v>670</v>
      </c>
      <c r="D81" s="61"/>
      <c r="E81" s="61" t="s">
        <v>475</v>
      </c>
      <c r="F81" s="61" t="s">
        <v>658</v>
      </c>
      <c r="G81" s="61" t="s">
        <v>508</v>
      </c>
    </row>
    <row r="82" customFormat="false" ht="15" hidden="false" customHeight="true" outlineLevel="0" collapsed="false">
      <c r="A82" s="52" t="n">
        <v>73</v>
      </c>
      <c r="B82" s="52" t="s">
        <v>503</v>
      </c>
      <c r="C82" s="52" t="s">
        <v>267</v>
      </c>
      <c r="D82" s="52" t="s">
        <v>671</v>
      </c>
      <c r="E82" s="52" t="s">
        <v>672</v>
      </c>
      <c r="F82" s="52" t="s">
        <v>673</v>
      </c>
      <c r="G82" s="52" t="s">
        <v>674</v>
      </c>
    </row>
    <row r="83" customFormat="false" ht="15" hidden="false" customHeight="true" outlineLevel="0" collapsed="false">
      <c r="A83" s="52" t="n">
        <v>74</v>
      </c>
      <c r="B83" s="52" t="s">
        <v>503</v>
      </c>
      <c r="C83" s="52" t="s">
        <v>155</v>
      </c>
      <c r="D83" s="52" t="s">
        <v>671</v>
      </c>
      <c r="E83" s="52" t="s">
        <v>675</v>
      </c>
      <c r="F83" s="52" t="s">
        <v>673</v>
      </c>
      <c r="G83" s="52" t="s">
        <v>674</v>
      </c>
    </row>
    <row r="84" customFormat="false" ht="15" hidden="false" customHeight="true" outlineLevel="0" collapsed="false">
      <c r="A84" s="52" t="n">
        <v>75</v>
      </c>
      <c r="B84" s="52" t="s">
        <v>503</v>
      </c>
      <c r="C84" s="52" t="s">
        <v>160</v>
      </c>
      <c r="D84" s="52" t="s">
        <v>671</v>
      </c>
      <c r="E84" s="52" t="s">
        <v>164</v>
      </c>
      <c r="F84" s="52" t="s">
        <v>673</v>
      </c>
      <c r="G84" s="52" t="s">
        <v>674</v>
      </c>
    </row>
    <row r="85" customFormat="false" ht="15" hidden="false" customHeight="true" outlineLevel="0" collapsed="false">
      <c r="A85" s="52" t="n">
        <v>76</v>
      </c>
      <c r="B85" s="52" t="s">
        <v>503</v>
      </c>
      <c r="C85" s="52" t="s">
        <v>167</v>
      </c>
      <c r="D85" s="52" t="s">
        <v>671</v>
      </c>
      <c r="E85" s="52" t="s">
        <v>676</v>
      </c>
      <c r="F85" s="52" t="s">
        <v>673</v>
      </c>
      <c r="G85" s="52" t="s">
        <v>674</v>
      </c>
    </row>
    <row r="86" customFormat="false" ht="15" hidden="false" customHeight="true" outlineLevel="0" collapsed="false">
      <c r="A86" s="52" t="n">
        <v>77</v>
      </c>
      <c r="B86" s="52" t="s">
        <v>503</v>
      </c>
      <c r="C86" s="52" t="s">
        <v>171</v>
      </c>
      <c r="D86" s="52" t="s">
        <v>671</v>
      </c>
      <c r="E86" s="52" t="s">
        <v>174</v>
      </c>
      <c r="F86" s="52" t="s">
        <v>673</v>
      </c>
      <c r="G86" s="52" t="s">
        <v>674</v>
      </c>
    </row>
    <row r="87" customFormat="false" ht="15" hidden="false" customHeight="true" outlineLevel="0" collapsed="false">
      <c r="A87" s="52" t="n">
        <v>78</v>
      </c>
      <c r="B87" s="52" t="s">
        <v>503</v>
      </c>
      <c r="C87" s="52" t="s">
        <v>677</v>
      </c>
      <c r="D87" s="52" t="s">
        <v>622</v>
      </c>
      <c r="E87" s="52" t="s">
        <v>249</v>
      </c>
      <c r="F87" s="52" t="s">
        <v>678</v>
      </c>
      <c r="G87" s="52" t="s">
        <v>679</v>
      </c>
    </row>
    <row r="88" customFormat="false" ht="15" hidden="false" customHeight="true" outlineLevel="0" collapsed="false">
      <c r="A88" s="52" t="n">
        <v>79</v>
      </c>
      <c r="B88" s="52" t="s">
        <v>503</v>
      </c>
      <c r="C88" s="52" t="s">
        <v>680</v>
      </c>
      <c r="D88" s="52" t="s">
        <v>626</v>
      </c>
      <c r="E88" s="52" t="s">
        <v>257</v>
      </c>
      <c r="F88" s="52" t="s">
        <v>678</v>
      </c>
      <c r="G88" s="52" t="s">
        <v>679</v>
      </c>
    </row>
    <row r="89" customFormat="false" ht="15" hidden="false" customHeight="true" outlineLevel="0" collapsed="false">
      <c r="A89" s="52" t="n">
        <v>80</v>
      </c>
      <c r="B89" s="52" t="s">
        <v>503</v>
      </c>
      <c r="C89" s="52" t="s">
        <v>681</v>
      </c>
      <c r="D89" s="52" t="s">
        <v>629</v>
      </c>
      <c r="E89" s="52" t="s">
        <v>263</v>
      </c>
      <c r="F89" s="52" t="s">
        <v>678</v>
      </c>
      <c r="G89" s="52" t="s">
        <v>679</v>
      </c>
    </row>
    <row r="90" customFormat="false" ht="15" hidden="false" customHeight="true" outlineLevel="0" collapsed="false">
      <c r="A90" s="52" t="n">
        <v>81</v>
      </c>
      <c r="B90" s="52" t="s">
        <v>503</v>
      </c>
      <c r="C90" s="52" t="s">
        <v>682</v>
      </c>
      <c r="D90" s="52" t="s">
        <v>683</v>
      </c>
      <c r="E90" s="52" t="s">
        <v>155</v>
      </c>
      <c r="F90" s="52" t="s">
        <v>684</v>
      </c>
      <c r="G90" s="52" t="s">
        <v>508</v>
      </c>
    </row>
    <row r="91" customFormat="false" ht="15" hidden="false" customHeight="true" outlineLevel="0" collapsed="false">
      <c r="A91" s="52" t="n">
        <v>82</v>
      </c>
      <c r="B91" s="52" t="s">
        <v>503</v>
      </c>
      <c r="C91" s="52" t="s">
        <v>685</v>
      </c>
      <c r="D91" s="52" t="s">
        <v>683</v>
      </c>
      <c r="E91" s="52" t="s">
        <v>160</v>
      </c>
      <c r="F91" s="52" t="s">
        <v>686</v>
      </c>
      <c r="G91" s="52" t="s">
        <v>508</v>
      </c>
    </row>
    <row r="92" customFormat="false" ht="15" hidden="false" customHeight="true" outlineLevel="0" collapsed="false">
      <c r="A92" s="52" t="n">
        <v>83</v>
      </c>
      <c r="B92" s="52" t="s">
        <v>503</v>
      </c>
      <c r="C92" s="52" t="s">
        <v>687</v>
      </c>
      <c r="D92" s="52" t="s">
        <v>683</v>
      </c>
      <c r="E92" s="52" t="s">
        <v>167</v>
      </c>
      <c r="F92" s="52" t="s">
        <v>688</v>
      </c>
      <c r="G92" s="52" t="s">
        <v>508</v>
      </c>
    </row>
    <row r="93" customFormat="false" ht="15" hidden="false" customHeight="true" outlineLevel="0" collapsed="false">
      <c r="A93" s="52" t="n">
        <v>84</v>
      </c>
      <c r="B93" s="52" t="s">
        <v>503</v>
      </c>
      <c r="C93" s="52" t="s">
        <v>689</v>
      </c>
      <c r="D93" s="52" t="s">
        <v>683</v>
      </c>
      <c r="E93" s="52" t="s">
        <v>171</v>
      </c>
      <c r="F93" s="52" t="s">
        <v>690</v>
      </c>
      <c r="G93" s="52" t="s">
        <v>691</v>
      </c>
    </row>
    <row r="94" customFormat="false" ht="15" hidden="false" customHeight="true" outlineLevel="0" collapsed="false">
      <c r="A94" s="52" t="n">
        <v>85</v>
      </c>
      <c r="B94" s="52" t="s">
        <v>503</v>
      </c>
      <c r="C94" s="52" t="s">
        <v>692</v>
      </c>
      <c r="D94" s="52" t="s">
        <v>693</v>
      </c>
      <c r="E94" s="52" t="s">
        <v>184</v>
      </c>
      <c r="F94" s="52" t="s">
        <v>694</v>
      </c>
      <c r="G94" s="52" t="s">
        <v>508</v>
      </c>
    </row>
    <row r="95" customFormat="false" ht="15" hidden="false" customHeight="true" outlineLevel="0" collapsed="false">
      <c r="A95" s="52" t="n">
        <v>86</v>
      </c>
      <c r="B95" s="52" t="s">
        <v>503</v>
      </c>
      <c r="C95" s="52" t="s">
        <v>695</v>
      </c>
      <c r="D95" s="52" t="s">
        <v>696</v>
      </c>
      <c r="E95" s="52" t="s">
        <v>158</v>
      </c>
      <c r="F95" s="52" t="s">
        <v>697</v>
      </c>
      <c r="G95" s="52" t="s">
        <v>508</v>
      </c>
    </row>
    <row r="96" customFormat="false" ht="15" hidden="false" customHeight="true" outlineLevel="0" collapsed="false">
      <c r="A96" s="52" t="n">
        <v>87</v>
      </c>
      <c r="B96" s="52" t="s">
        <v>503</v>
      </c>
      <c r="C96" s="52" t="s">
        <v>698</v>
      </c>
      <c r="D96" s="52" t="s">
        <v>683</v>
      </c>
      <c r="E96" s="52" t="s">
        <v>178</v>
      </c>
      <c r="F96" s="52" t="s">
        <v>699</v>
      </c>
      <c r="G96" s="52" t="s">
        <v>691</v>
      </c>
    </row>
    <row r="97" customFormat="false" ht="15" hidden="false" customHeight="true" outlineLevel="0" collapsed="false">
      <c r="A97" s="52" t="n">
        <v>88</v>
      </c>
      <c r="B97" s="52" t="s">
        <v>643</v>
      </c>
      <c r="C97" s="52" t="s">
        <v>700</v>
      </c>
      <c r="D97" s="52" t="s">
        <v>701</v>
      </c>
      <c r="E97" s="52" t="s">
        <v>427</v>
      </c>
      <c r="F97" s="52" t="s">
        <v>702</v>
      </c>
      <c r="G97" s="52" t="s">
        <v>508</v>
      </c>
    </row>
    <row r="98" customFormat="false" ht="15" hidden="false" customHeight="true" outlineLevel="0" collapsed="false">
      <c r="A98" s="52" t="n">
        <v>89</v>
      </c>
      <c r="B98" s="52" t="s">
        <v>643</v>
      </c>
      <c r="C98" s="52" t="s">
        <v>703</v>
      </c>
      <c r="D98" s="52" t="s">
        <v>704</v>
      </c>
      <c r="E98" s="52" t="s">
        <v>438</v>
      </c>
      <c r="F98" s="52" t="s">
        <v>705</v>
      </c>
      <c r="G98" s="52" t="s">
        <v>508</v>
      </c>
    </row>
    <row r="99" customFormat="false" ht="15" hidden="false" customHeight="true" outlineLevel="0" collapsed="false">
      <c r="A99" s="52" t="n">
        <v>90</v>
      </c>
      <c r="B99" s="52" t="s">
        <v>643</v>
      </c>
      <c r="C99" s="52" t="s">
        <v>706</v>
      </c>
      <c r="D99" s="52" t="s">
        <v>707</v>
      </c>
      <c r="E99" s="52" t="s">
        <v>445</v>
      </c>
      <c r="F99" s="52" t="s">
        <v>705</v>
      </c>
      <c r="G99" s="52" t="s">
        <v>508</v>
      </c>
    </row>
    <row r="100" customFormat="false" ht="15" hidden="false" customHeight="true" outlineLevel="0" collapsed="false">
      <c r="A100" s="52" t="n">
        <v>91</v>
      </c>
      <c r="B100" s="52" t="s">
        <v>643</v>
      </c>
      <c r="C100" s="52" t="s">
        <v>708</v>
      </c>
      <c r="D100" s="52" t="s">
        <v>709</v>
      </c>
      <c r="E100" s="52" t="s">
        <v>433</v>
      </c>
      <c r="F100" s="52" t="s">
        <v>710</v>
      </c>
      <c r="G100" s="52" t="s">
        <v>538</v>
      </c>
    </row>
    <row r="101" customFormat="false" ht="15" hidden="false" customHeight="true" outlineLevel="0" collapsed="false">
      <c r="A101" s="52" t="n">
        <v>92</v>
      </c>
      <c r="B101" s="52" t="s">
        <v>643</v>
      </c>
      <c r="C101" s="52" t="s">
        <v>711</v>
      </c>
      <c r="D101" s="52" t="s">
        <v>712</v>
      </c>
      <c r="E101" s="52" t="s">
        <v>455</v>
      </c>
      <c r="F101" s="52" t="s">
        <v>713</v>
      </c>
      <c r="G101" s="52" t="s">
        <v>508</v>
      </c>
    </row>
    <row r="102" customFormat="false" ht="15" hidden="false" customHeight="true" outlineLevel="0" collapsed="false">
      <c r="A102" s="52" t="n">
        <v>93</v>
      </c>
      <c r="B102" s="52" t="s">
        <v>643</v>
      </c>
      <c r="C102" s="52" t="s">
        <v>714</v>
      </c>
      <c r="D102" s="52" t="s">
        <v>715</v>
      </c>
      <c r="E102" s="52" t="s">
        <v>476</v>
      </c>
      <c r="F102" s="52" t="s">
        <v>716</v>
      </c>
      <c r="G102" s="52" t="s">
        <v>679</v>
      </c>
    </row>
    <row r="103" customFormat="false" ht="15" hidden="false" customHeight="true" outlineLevel="0" collapsed="false">
      <c r="A103" s="52" t="n">
        <v>94</v>
      </c>
      <c r="B103" s="52" t="s">
        <v>643</v>
      </c>
      <c r="C103" s="52" t="s">
        <v>717</v>
      </c>
      <c r="D103" s="52" t="s">
        <v>683</v>
      </c>
      <c r="E103" s="52" t="s">
        <v>483</v>
      </c>
      <c r="F103" s="52" t="s">
        <v>718</v>
      </c>
      <c r="G103" s="52" t="s">
        <v>508</v>
      </c>
    </row>
    <row r="104" customFormat="false" ht="15" hidden="false" customHeight="true" outlineLevel="0" collapsed="false">
      <c r="A104" s="52" t="n">
        <v>95</v>
      </c>
      <c r="B104" s="52" t="s">
        <v>643</v>
      </c>
      <c r="C104" s="52" t="s">
        <v>719</v>
      </c>
      <c r="D104" s="52" t="s">
        <v>720</v>
      </c>
      <c r="E104" s="52" t="s">
        <v>481</v>
      </c>
      <c r="F104" s="52" t="s">
        <v>721</v>
      </c>
      <c r="G104" s="52" t="s">
        <v>508</v>
      </c>
    </row>
    <row r="105" customFormat="false" ht="15" hidden="false" customHeight="true" outlineLevel="0" collapsed="false">
      <c r="A105" s="52" t="n">
        <v>96</v>
      </c>
      <c r="B105" s="52" t="s">
        <v>643</v>
      </c>
      <c r="C105" s="52" t="s">
        <v>484</v>
      </c>
      <c r="D105" s="52" t="s">
        <v>671</v>
      </c>
      <c r="E105" s="52" t="s">
        <v>722</v>
      </c>
      <c r="F105" s="52" t="s">
        <v>723</v>
      </c>
      <c r="G105" s="52" t="s">
        <v>724</v>
      </c>
    </row>
    <row r="106" customFormat="false" ht="15" hidden="false" customHeight="true" outlineLevel="0" collapsed="false">
      <c r="A106" s="52" t="n">
        <v>97</v>
      </c>
      <c r="B106" s="52" t="s">
        <v>643</v>
      </c>
      <c r="C106" s="52" t="s">
        <v>725</v>
      </c>
      <c r="D106" s="52" t="s">
        <v>654</v>
      </c>
      <c r="E106" s="52" t="s">
        <v>360</v>
      </c>
      <c r="F106" s="52" t="s">
        <v>726</v>
      </c>
      <c r="G106" s="52" t="s">
        <v>508</v>
      </c>
    </row>
    <row r="107" customFormat="false" ht="15" hidden="false" customHeight="true" outlineLevel="0" collapsed="false">
      <c r="A107" s="52" t="n">
        <v>98</v>
      </c>
      <c r="B107" s="52" t="s">
        <v>503</v>
      </c>
      <c r="C107" s="52" t="s">
        <v>727</v>
      </c>
      <c r="D107" s="52" t="s">
        <v>683</v>
      </c>
      <c r="E107" s="52" t="s">
        <v>229</v>
      </c>
      <c r="F107" s="52" t="s">
        <v>728</v>
      </c>
      <c r="G107" s="52" t="s">
        <v>679</v>
      </c>
    </row>
    <row r="108" customFormat="false" ht="15" hidden="false" customHeight="true" outlineLevel="0" collapsed="false">
      <c r="A108" s="52" t="n">
        <v>99</v>
      </c>
      <c r="B108" s="52" t="s">
        <v>503</v>
      </c>
      <c r="C108" s="52" t="s">
        <v>729</v>
      </c>
      <c r="D108" s="52" t="s">
        <v>683</v>
      </c>
      <c r="E108" s="52" t="s">
        <v>230</v>
      </c>
      <c r="F108" s="52" t="s">
        <v>550</v>
      </c>
      <c r="G108" s="52" t="s">
        <v>679</v>
      </c>
    </row>
    <row r="109" customFormat="false" ht="15" hidden="false" customHeight="true" outlineLevel="0" collapsed="false">
      <c r="A109" s="52" t="n">
        <v>100</v>
      </c>
      <c r="B109" s="52" t="s">
        <v>503</v>
      </c>
      <c r="C109" s="52" t="s">
        <v>730</v>
      </c>
      <c r="D109" s="52" t="s">
        <v>683</v>
      </c>
      <c r="E109" s="52" t="s">
        <v>229</v>
      </c>
      <c r="F109" s="52" t="s">
        <v>728</v>
      </c>
      <c r="G109" s="52" t="s">
        <v>679</v>
      </c>
    </row>
    <row r="110" customFormat="false" ht="15" hidden="false" customHeight="true" outlineLevel="0" collapsed="false">
      <c r="A110" s="52" t="n">
        <v>101</v>
      </c>
      <c r="B110" s="52" t="s">
        <v>503</v>
      </c>
      <c r="C110" s="52" t="s">
        <v>731</v>
      </c>
      <c r="D110" s="52" t="s">
        <v>683</v>
      </c>
      <c r="E110" s="52" t="s">
        <v>230</v>
      </c>
      <c r="F110" s="52" t="s">
        <v>550</v>
      </c>
      <c r="G110" s="52" t="s">
        <v>679</v>
      </c>
    </row>
    <row r="111" customFormat="false" ht="15" hidden="false" customHeight="true" outlineLevel="0" collapsed="false">
      <c r="A111" s="52" t="n">
        <v>102</v>
      </c>
      <c r="B111" s="52" t="s">
        <v>503</v>
      </c>
      <c r="C111" s="52" t="s">
        <v>732</v>
      </c>
      <c r="D111" s="52" t="s">
        <v>733</v>
      </c>
      <c r="E111" s="52" t="s">
        <v>734</v>
      </c>
      <c r="F111" s="52" t="s">
        <v>735</v>
      </c>
      <c r="G111" s="52" t="s">
        <v>508</v>
      </c>
    </row>
    <row r="112" customFormat="false" ht="15" hidden="false" customHeight="true" outlineLevel="0" collapsed="false">
      <c r="A112" s="52" t="n">
        <v>103</v>
      </c>
      <c r="B112" s="52" t="s">
        <v>503</v>
      </c>
      <c r="C112" s="52" t="s">
        <v>736</v>
      </c>
      <c r="D112" s="52" t="s">
        <v>737</v>
      </c>
      <c r="E112" s="52" t="s">
        <v>738</v>
      </c>
      <c r="F112" s="52" t="s">
        <v>735</v>
      </c>
      <c r="G112" s="52" t="s">
        <v>508</v>
      </c>
    </row>
    <row r="113" customFormat="false" ht="15" hidden="false" customHeight="true" outlineLevel="0" collapsed="false">
      <c r="A113" s="52" t="n">
        <v>104</v>
      </c>
      <c r="B113" s="52" t="s">
        <v>503</v>
      </c>
      <c r="C113" s="52" t="s">
        <v>739</v>
      </c>
      <c r="D113" s="52" t="s">
        <v>740</v>
      </c>
      <c r="E113" s="52" t="s">
        <v>316</v>
      </c>
      <c r="F113" s="52" t="s">
        <v>735</v>
      </c>
      <c r="G113" s="52" t="s">
        <v>508</v>
      </c>
    </row>
    <row r="114" customFormat="false" ht="15" hidden="false" customHeight="true" outlineLevel="0" collapsed="false">
      <c r="A114" s="52" t="n">
        <v>105</v>
      </c>
      <c r="B114" s="52" t="s">
        <v>503</v>
      </c>
      <c r="C114" s="52" t="s">
        <v>741</v>
      </c>
      <c r="D114" s="52" t="s">
        <v>742</v>
      </c>
      <c r="E114" s="52" t="s">
        <v>322</v>
      </c>
      <c r="F114" s="52" t="s">
        <v>735</v>
      </c>
      <c r="G114" s="52" t="s">
        <v>508</v>
      </c>
    </row>
    <row r="115" customFormat="false" ht="15" hidden="false" customHeight="true" outlineLevel="0" collapsed="false">
      <c r="A115" s="52" t="n">
        <v>106</v>
      </c>
      <c r="B115" s="52" t="s">
        <v>503</v>
      </c>
      <c r="C115" s="52" t="s">
        <v>743</v>
      </c>
      <c r="D115" s="52" t="s">
        <v>744</v>
      </c>
      <c r="E115" s="52" t="s">
        <v>745</v>
      </c>
      <c r="F115" s="52" t="s">
        <v>735</v>
      </c>
      <c r="G115" s="52" t="s">
        <v>508</v>
      </c>
    </row>
    <row r="116" customFormat="false" ht="15" hidden="false" customHeight="true" outlineLevel="0" collapsed="false">
      <c r="A116" s="52" t="n">
        <v>107</v>
      </c>
      <c r="B116" s="52" t="s">
        <v>503</v>
      </c>
      <c r="C116" s="52" t="s">
        <v>746</v>
      </c>
      <c r="D116" s="52" t="s">
        <v>747</v>
      </c>
      <c r="E116" s="52" t="s">
        <v>279</v>
      </c>
      <c r="F116" s="52" t="s">
        <v>735</v>
      </c>
      <c r="G116" s="52" t="s">
        <v>508</v>
      </c>
    </row>
    <row r="117" customFormat="false" ht="15" hidden="false" customHeight="true" outlineLevel="0" collapsed="false">
      <c r="A117" s="52" t="n">
        <v>108</v>
      </c>
      <c r="B117" s="52" t="s">
        <v>503</v>
      </c>
      <c r="C117" s="52" t="s">
        <v>748</v>
      </c>
      <c r="D117" s="52" t="s">
        <v>749</v>
      </c>
      <c r="E117" s="52" t="s">
        <v>286</v>
      </c>
      <c r="F117" s="52" t="s">
        <v>735</v>
      </c>
      <c r="G117" s="52" t="s">
        <v>508</v>
      </c>
    </row>
    <row r="118" customFormat="false" ht="15" hidden="false" customHeight="true" outlineLevel="0" collapsed="false">
      <c r="A118" s="52" t="n">
        <v>109</v>
      </c>
      <c r="B118" s="52" t="s">
        <v>503</v>
      </c>
      <c r="C118" s="52" t="s">
        <v>750</v>
      </c>
      <c r="D118" s="52" t="s">
        <v>751</v>
      </c>
      <c r="E118" s="52" t="s">
        <v>97</v>
      </c>
      <c r="F118" s="52" t="s">
        <v>735</v>
      </c>
      <c r="G118" s="52" t="s">
        <v>508</v>
      </c>
    </row>
    <row r="119" customFormat="false" ht="15" hidden="false" customHeight="true" outlineLevel="0" collapsed="false">
      <c r="A119" s="52" t="n">
        <v>110</v>
      </c>
      <c r="B119" s="52" t="s">
        <v>503</v>
      </c>
      <c r="C119" s="52" t="s">
        <v>752</v>
      </c>
      <c r="D119" s="52" t="s">
        <v>753</v>
      </c>
      <c r="E119" s="52" t="s">
        <v>103</v>
      </c>
      <c r="F119" s="52" t="s">
        <v>735</v>
      </c>
      <c r="G119" s="52" t="s">
        <v>508</v>
      </c>
    </row>
    <row r="120" customFormat="false" ht="15" hidden="false" customHeight="true" outlineLevel="0" collapsed="false">
      <c r="A120" s="52" t="n">
        <v>111</v>
      </c>
      <c r="B120" s="52" t="s">
        <v>503</v>
      </c>
      <c r="C120" s="52" t="s">
        <v>754</v>
      </c>
      <c r="D120" s="52" t="s">
        <v>755</v>
      </c>
      <c r="E120" s="52" t="s">
        <v>234</v>
      </c>
      <c r="F120" s="52" t="s">
        <v>735</v>
      </c>
      <c r="G120" s="52" t="s">
        <v>508</v>
      </c>
    </row>
    <row r="121" customFormat="false" ht="15" hidden="false" customHeight="true" outlineLevel="0" collapsed="false">
      <c r="A121" s="52" t="n">
        <v>112</v>
      </c>
      <c r="B121" s="52" t="s">
        <v>503</v>
      </c>
      <c r="C121" s="52" t="s">
        <v>756</v>
      </c>
      <c r="D121" s="52" t="s">
        <v>757</v>
      </c>
      <c r="E121" s="52" t="s">
        <v>47</v>
      </c>
      <c r="F121" s="52" t="s">
        <v>758</v>
      </c>
      <c r="G121" s="52" t="s">
        <v>508</v>
      </c>
    </row>
    <row r="122" customFormat="false" ht="15" hidden="false" customHeight="true" outlineLevel="0" collapsed="false">
      <c r="A122" s="52" t="n">
        <v>113</v>
      </c>
      <c r="B122" s="52" t="s">
        <v>503</v>
      </c>
      <c r="C122" s="52" t="s">
        <v>759</v>
      </c>
      <c r="D122" s="52" t="s">
        <v>760</v>
      </c>
      <c r="E122" s="52" t="s">
        <v>761</v>
      </c>
      <c r="F122" s="52" t="s">
        <v>762</v>
      </c>
      <c r="G122" s="52" t="s">
        <v>508</v>
      </c>
    </row>
    <row r="123" customFormat="false" ht="15" hidden="false" customHeight="true" outlineLevel="0" collapsed="false">
      <c r="A123" s="52" t="n">
        <v>114</v>
      </c>
      <c r="B123" s="52" t="s">
        <v>503</v>
      </c>
      <c r="C123" s="52" t="s">
        <v>763</v>
      </c>
      <c r="D123" s="52" t="s">
        <v>764</v>
      </c>
      <c r="E123" s="52" t="s">
        <v>765</v>
      </c>
      <c r="F123" s="52" t="s">
        <v>766</v>
      </c>
      <c r="G123" s="52" t="s">
        <v>508</v>
      </c>
    </row>
    <row r="124" customFormat="false" ht="15" hidden="false" customHeight="true" outlineLevel="0" collapsed="false">
      <c r="A124" s="52" t="n">
        <v>115</v>
      </c>
      <c r="B124" s="52" t="s">
        <v>503</v>
      </c>
      <c r="C124" s="52" t="s">
        <v>767</v>
      </c>
      <c r="D124" s="52" t="s">
        <v>768</v>
      </c>
      <c r="E124" s="52" t="s">
        <v>769</v>
      </c>
      <c r="F124" s="52" t="s">
        <v>770</v>
      </c>
      <c r="G124" s="52" t="s">
        <v>508</v>
      </c>
    </row>
    <row r="125" customFormat="false" ht="15" hidden="false" customHeight="true" outlineLevel="0" collapsed="false">
      <c r="A125" s="52" t="n">
        <v>116</v>
      </c>
      <c r="B125" s="52" t="s">
        <v>503</v>
      </c>
      <c r="C125" s="52" t="s">
        <v>771</v>
      </c>
      <c r="D125" s="52" t="s">
        <v>772</v>
      </c>
      <c r="E125" s="52" t="s">
        <v>773</v>
      </c>
      <c r="F125" s="52" t="s">
        <v>774</v>
      </c>
      <c r="G125" s="52" t="s">
        <v>508</v>
      </c>
    </row>
    <row r="126" customFormat="false" ht="15" hidden="false" customHeight="true" outlineLevel="0" collapsed="false">
      <c r="A126" s="52" t="n">
        <v>117</v>
      </c>
      <c r="B126" s="52" t="s">
        <v>643</v>
      </c>
      <c r="C126" s="52" t="s">
        <v>775</v>
      </c>
      <c r="D126" s="52" t="s">
        <v>671</v>
      </c>
      <c r="E126" s="52" t="s">
        <v>332</v>
      </c>
      <c r="F126" s="52" t="s">
        <v>776</v>
      </c>
      <c r="G126" s="52" t="s">
        <v>508</v>
      </c>
    </row>
    <row r="127" customFormat="false" ht="15" hidden="false" customHeight="true" outlineLevel="0" collapsed="false">
      <c r="A127" s="52" t="n">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2026-10-27T06:25:31Z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