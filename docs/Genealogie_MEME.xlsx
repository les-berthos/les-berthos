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<sst xmlns="http://schemas.openxmlformats.org/spreadsheetml/2006/main">
  <si>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</si>
  <si>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</si>
  <si>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</si>
  <si>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</si>
  <si>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</si>
  <si>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</si>
  <si>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</si>
  <si>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</si>
  <si>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</si>
  <si>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</si>
  <si>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</si>
  <si>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</si>
  <si>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</si>
  <si>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</si>
  <si>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</si>
  <si>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</si>
  <si>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</si>
  <si>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</si>
  <si>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</si>
  <si>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</si>
  <si>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</si>
  <si>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</si>
  <si>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</si>
  <si>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</si>
  <si>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</si>
  <si>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</si>
  <si>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</si>
  <si>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</si>
  <si>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</si>
  <si>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</si>
  <si>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</si>
  <si>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</si>
  <si>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</si>
  <si>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</si>
  <si>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</si>
  <si>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</si>
  <si>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</si>
  <si>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</si>
  <si>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</si>
  <si>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</si>
  <si>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</si>
  <si>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</si>
  <si>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</si>
  <si>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</si>
  <si>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</si>
  <si>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</si>
  <si>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</si>
  <si>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</si>
  <si>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</si>
  <si>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</si>
  <si>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</si>
  <si>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</si>
  <si>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</si>
  <si>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</si>
  <si>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</si>
  <si>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</si>
  <si>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</si>
  <si>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</si>
  <si>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</si>
  <si>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</si>
  <si>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</si>
  <si>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</si>
  <si>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</si>
  <si>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</si>
  <si>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</si>
  <si>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</si>
  <si>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</si>
  <si>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</si>
  <si>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</si>
  <si>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</si>
  <si>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</si>
  <si>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</si>
  <si>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</si>
  <si>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</si>
  <si>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</si>
  <si>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</si>
  <si>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</si>
  <si>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</si>
  <si>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</si>
  <si>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</si>
  <si>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</si>
  <si>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</si>
  <si>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</si>
  <si>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</si>
  <si>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</si>
  <si>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</si>
  <si>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</si>
  <si>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</si>
  <si>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</si>
  <si>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</si>
  <si>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</si>
  <si>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</si>
  <si>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</si>
  <si>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</si>
  <si>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</si>
  <si>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</si>
  <si>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</si>
  <si>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</si>
  <si>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</si>
  <si>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</si>
  <si>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</si>
  <si>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</si>
  <si>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</si>
  <si>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</si>
  <si>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</si>
  <si>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</si>
  <si>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</si>
  <si>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</si>
  <si>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</si>
  <si>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</si>
  <si>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</si>
  <si>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</si>
  <si>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</si>
  <si>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</si>
  <si>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</si>
  <si>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</si>
  <si>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</si>
  <si>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</si>
  <si>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</si>
  <si>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</si>
  <si>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</si>
  <si>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</si>
  <si>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</si>
  <si>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</si>
  <si>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</si>
  <si>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</si>
  <si>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</si>
  <si>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</si>
  <si>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</si>
  <si>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</si>
  <si>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</si>
  <si>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</si>
  <si>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</si>
  <si>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</si>
  <si>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</si>
  <si>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</si>
  <si>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</si>
  <si>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</si>
  <si>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</si>
  <si>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</si>
  <si>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</si>
  <si>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</si>
  <si>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</si>
  <si>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</si>
  <si>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</si>
  <si>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</si>
  <si>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</si>
  <si>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</si>
  <si>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</si>
  <si>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</si>
  <si>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</si>
  <si>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</si>
  <si>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</si>
  <si>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</si>
  <si>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</si>
  <si>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</si>
  <si>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</si>
  <si>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</si>
  <si>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</si>
  <si>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</si>
  <si>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</si>
  <si>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</si>
  <si>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</si>
  <si>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</si>
  <si>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</si>
  <si>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</si>
  <si>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</si>
  <si>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</si>
  <si>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</si>
  <si>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</si>
  <si>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</si>
  <si>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</si>
  <si>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</si>
  <si>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</si>
  <si>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</si>
  <si>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</si>
  <si>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</si>
  <si>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</si>
  <si>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</si>
  <si>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</si>
  <si>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</si>
  <si>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</si>
  <si>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</si>
  <si>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</si>
  <si>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</si>
  <si>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</si>
  <si>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</si>
  <si>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</si>
  <si>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</si>
  <si>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</si>
  <si>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</si>
  <si>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</si>
  <si>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</si>
  <si>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</si>
  <si>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</si>
  <si>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</si>
  <si>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</si>
  <si>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</si>
  <si>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</si>
  <si>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</si>
  <si>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</si>
  <si>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</si>
  <si>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</si>
  <si>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</si>
  <si>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</si>
  <si>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</si>
  <si>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</si>
  <si>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</si>
  <si>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</si>
  <si>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</si>
  <si>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</si>
  <si>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</si>
  <si>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</si>
  <si>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</si>
  <si>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</si>
  <si>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</si>
  <si>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</si>
  <si>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</si>
  <si>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</si>
  <si>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</si>
  <si>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</si>
  <si>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</si>
  <si>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</si>
  <si>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</si>
  <si>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</si>
  <si>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</si>
  <si>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</si>
  <si>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</si>
  <si>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</si>
  <si>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</si>
  <si>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</si>
  <si>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</si>
  <si>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</si>
  <si>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</si>
  <si>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</si>
  <si>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</si>
  <si>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</si>
  <si>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</si>
  <si>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</si>
  <si>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</si>
  <si>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</si>
  <si>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</si>
  <si>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</si>
  <si>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</si>
  <si>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</si>
  <si>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</si>
  <si>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</si>
  <si>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</si>
  <si>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</si>
  <si>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</si>
  <si>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</si>
  <si>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</si>
  <si>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</si>
  <si>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</si>
  <si>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</si>
  <si>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</si>
  <si>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</si>
  <si>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</si>
  <si>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</si>
  <si>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</si>
  <si>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</si>
  <si>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</si>
  <si>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</si>
  <si>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</si>
  <si>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</si>
  <si>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</si>
  <si>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</si>
  <si>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</si>
  <si>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</si>
  <si>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</si>
  <si>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</si>
  <si>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</si>
  <si>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</si>
  <si>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</si>
  <si>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</si>
  <si>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</si>
  <si>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</si>
  <si>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</si>
  <si>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</si>
  <si>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</si>
  <si>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</si>
  <si>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</si>
  <si>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</si>
  <si>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</si>
  <si>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</si>
  <si>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</si>
  <si>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</si>
  <si>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</si>
  <si>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</si>
  <si>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</si>
  <si>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</si>
  <si>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</si>
  <si>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</si>
  <si>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</si>
  <si>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</si>
  <si>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</si>
  <si>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</si>
  <si>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</si>
  <si>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</si>
  <si>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</si>
  <si>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</si>
  <si>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</si>
  <si>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</si>
  <si>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</si>
  <si>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</si>
  <si>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</si>
  <si>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</si>
  <si>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</si>
  <si>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</si>
  <si>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</si>
  <si>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</si>
  <si>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</si>
  <si>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</si>
  <si>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</si>
  <si>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</si>
  <si>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</si>
  <si>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</si>
  <si>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</si>
  <si>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</si>
  <si>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</si>
  <si>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</si>
  <si>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</si>
  <si>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</si>
  <si>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</si>
  <si>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</si>
  <si>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</si>
  <si>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</si>
  <si>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</si>
  <si>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</si>
  <si>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</si>
  <si>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</si>
  <si>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</si>
  <si>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</si>
  <si>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</si>
  <si>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</si>
  <si>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</si>
  <si>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</si>
  <si>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</si>
  <si>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</si>
  <si>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</si>
  <si>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</si>
  <si>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</si>
  <si>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</si>
  <si>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</si>
  <si>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</si>
  <si>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</si>
  <si>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</si>
  <si>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</si>
  <si>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</si>
  <si>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</si>
  <si>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</si>
  <si>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</si>
  <si>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</si>
  <si>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</si>
  <si>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</si>
  <si>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</si>
  <si>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</si>
  <si>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</si>
  <si>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</si>
  <si>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</si>
  <si>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</si>
  <si>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</si>
  <si>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</si>
  <si>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</si>
  <si>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</si>
  <si>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</si>
  <si>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</si>
  <si>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</si>
  <si>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</si>
  <si>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</si>
  <si>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</si>
  <si>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</si>
  <si>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</si>
  <si>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</si>
  <si>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</si>
  <si>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</si>
  <si>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</si>
  <si>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</si>
  <si>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</si>
  <si>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</si>
  <si>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</si>
  <si>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</si>
  <si>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</si>
  <si>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</si>
  <si>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</si>
  <si>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</si>
  <si>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</si>
  <si>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</si>
  <si>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</si>
  <si>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</si>
  <si>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</si>
  <si>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</si>
  <si>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</si>
  <si>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</si>
  <si>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</si>
  <si>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</si>
  <si>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</si>
  <si>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</si>
  <si>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</si>
  <si>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</si>
  <si>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</si>
  <si>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</si>
  <si>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</si>
  <si>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</si>
  <si>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</si>
  <si>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</si>
  <si>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</si>
  <si>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</si>
  <si>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</si>
  <si>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</si>
  <si>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</si>
  <si>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</si>
  <si>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</si>
  <si>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</si>
  <si>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</si>
  <si>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</si>
  <si>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</si>
  <si>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</si>
  <si>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</si>
  <si>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</si>
  <si>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</si>
  <si>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</si>
  <si>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</si>
  <si>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</si>
  <si>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</si>
  <si>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</si>
  <si>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</si>
  <si>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</si>
  <si>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</si>
  <si>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</si>
  <si>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</si>
  <si>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</si>
  <si>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</si>
  <si>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</si>
  <si>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</si>
  <si>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</si>
  <si>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</si>
  <si>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</si>
  <si>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</si>
  <si>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</si>
  <si>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</si>
  <si>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</si>
  <si>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</si>
  <si>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</si>
  <si>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</si>
  <si>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</si>
  <si>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</si>
  <si>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</si>
  <si>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</si>
  <si>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</si>
  <si>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</si>
  <si>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</si>
  <si>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</si>
  <si>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</si>
  <si>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</si>
  <si>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</si>
  <si>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</si>
  <si>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</si>
  <si>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</si>
  <si>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</si>
  <si>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</si>
  <si>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</si>
  <si>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</si>
  <si>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</si>
  <si>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</si>
  <si>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</si>
  <si>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</si>
  <si>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</si>
  <si>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</si>
  <si>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</si>
  <si>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</si>
  <si>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</si>
  <si>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</si>
  <si>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</si>
  <si>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</si>
  <si>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</si>
  <si>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</si>
  <si>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</si>
  <si>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</si>
  <si>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</si>
  <si>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</si>
  <si>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</si>
  <si>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</si>
  <si>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</si>
  <si>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</si>
  <si>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</si>
  <si>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</si>
  <si>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</si>
  <si>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</si>
  <si>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</si>
  <si>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</si>
  <si>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</si>
  <si>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</si>
  <si>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</si>
  <si>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</si>
  <si>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</si>
  <si>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</si>
  <si>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</si>
  <si>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</si>
  <si>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</si>
  <si>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</si>
  <si>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</si>
  <si>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</si>
  <si>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</si>
  <si>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</si>
  <si>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</si>
  <si>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</si>
  <si>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</si>
  <si>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</si>
  <si>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</si>
  <si>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</si>
  <si>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</si>
  <si>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</si>
  <si>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</si>
  <si>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</si>
  <si>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</si>
  <si>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</si>
  <si>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</si>
  <si>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</si>
  <si>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</si>
  <si>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</si>
  <si>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</si>
  <si>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</si>
  <si>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</si>
  <si>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</si>
  <si>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</si>
  <si>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</si>
  <si>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</si>
  <si>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</si>
  <si>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</si>
  <si>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</si>
  <si>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</si>
  <si>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</si>
  <si>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</si>
  <si>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</si>
  <si>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</si>
  <si>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</si>
  <si>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</si>
  <si>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</si>
  <si>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</si>
  <si>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</si>
  <si>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</si>
  <si>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</si>
  <si>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</si>
  <si>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</si>
  <si>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</si>
  <si>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</si>
  <si>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</si>
  <si>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</si>
  <si>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</si>
  <si>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</si>
  <si>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</si>
  <si>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</si>
  <si>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</si>
  <si>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</si>
  <si>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</si>
  <si>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</si>
  <si>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</si>
  <si>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</si>
  <si>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</si>
  <si>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</si>
  <si>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</si>
  <si>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</si>
  <si>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</si>
  <si>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</si>
  <si>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</si>
  <si>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</si>
  <si>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</si>
  <si>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</si>
  <si>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</si>
  <si>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</si>
  <si>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</si>
  <si>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</si>
  <si>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</si>
  <si>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</si>
  <si>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</si>
  <si>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</si>
  <si>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</si>
  <si>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</si>
  <si>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</si>
  <si>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</si>
  <si>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</si>
  <si>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</si>
  <si>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</si>
  <si>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</si>
  <si>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</si>
  <si>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</si>
  <si>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</si>
  <si>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</si>
  <si>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</si>
  <si>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</si>
  <si>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</si>
  <si>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</si>
  <si>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</si>
  <si>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</si>
  <si>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</si>
  <si>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</si>
  <si>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</si>
  <si>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</si>
  <si>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</si>
  <si>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</si>
  <si>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</si>
  <si>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</si>
  <si>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</si>
  <si>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</si>
  <si>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</si>
  <si>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</si>
  <si>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</si>
  <si>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</si>
  <si>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</si>
  <si>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</si>
  <si>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</si>
  <si>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</si>
  <si>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</si>
  <si>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</si>
  <si>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</si>
  <si>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</si>
  <si>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</si>
  <si>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</si>
  <si>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</si>
  <si>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</si>
  <si>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</si>
  <si>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</si>
  <si>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</si>
  <si>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</si>
  <si>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</si>
  <si>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</si>
  <si>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</si>
  <si>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</si>
  <si>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</si>
  <si>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</si>
  <si>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</si>
  <si>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</si>
  <si>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</si>
  <si>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</si>
  <si>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</si>
  <si>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</si>
  <si>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</si>
  <si>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</si>
  <si>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</si>
  <si>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</si>
  <si>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</si>
  <si>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</si>
  <si>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</si>
  <si>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</si>
  <si>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</si>
  <si>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</si>
  <si>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</si>
  <si>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</si>
  <si>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</si>
  <si>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</si>
  <si>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</si>
  <si>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</si>
  <si>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</si>
  <si>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</si>
  <si>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</si>
  <si>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</si>
  <si>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</si>
  <si>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</si>
  <si>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</si>
  <si>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</si>
  <si>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</si>
  <si>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</si>
  <si>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</si>
  <si>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</si>
  <si>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</si>
  <si>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</si>
  <si>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</si>
  <si>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</si>
  <si>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</si>
  <si>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</si>
  <si>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</si>
  <si>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</si>
  <si>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</si>
  <si>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</si>
  <si>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</si>
  <si>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</si>
  <si>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</si>
  <si>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</si>
  <si>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</si>
  <si>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</si>
  <si>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</si>
  <si>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</si>
  <si>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</si>
  <si>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</si>
  <si>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</si>
  <si>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</si>
  <si>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</si>
  <si>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</si>
  <si>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</si>
  <si>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</si>
  <si>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</si>
  <si>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</si>
  <si>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</si>
  <si>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</si>
  <si>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</si>
  <si>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</si>
  <si>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</si>
  <si>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</si>
  <si>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</si>
  <si>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</si>
  <si>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</si>
  <si>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</si>
  <si>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</si>
  <si>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</si>
  <si>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</si>
  <si>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</si>
  <si>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</si>
  <si>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</si>
  <si>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</si>
  <si>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</si>
  <si>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</si>
  <si>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</si>
  <si>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</si>
  <si>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</si>
  <si>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</si>
  <si>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</si>
  <si>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</si>
  <si>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</si>
  <si>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</si>
  <si>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</si>
  <si>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</si>
  <si>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</si>
  <si>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</si>
  <si>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</si>
  <si>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</si>
  <si>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</si>
  <si>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</si>
  <si>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</si>
  <si>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</si>
  <si>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</si>
  <si>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</si>
  <si>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</si>
  <si>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</si>
  <si>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</si>
  <si>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</si>
  <si>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</si>
  <si>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</si>
  <si>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</si>
  <si>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</si>
  <si>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</si>
  <si>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</si>
  <si>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</si>
  <si>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</si>
  <si>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</si>
  <si>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</si>
  <si>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</si>
  <si>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</si>
  <si>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</si>
  <si>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</si>
  <si>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</si>
  <si>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</si>
  <si>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</si>
  <si>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</si>
  <si>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</si>
  <si>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</si>
  <si>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</si>
  <si>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</si>
  <si>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</si>
  <si>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</si>
  <si>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</si>
  <si>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</si>
  <si>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</si>
  <si>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</si>
  <si>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</si>
  <si>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</si>
  <si>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</si>
  <si>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</si>
  <si>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</si>
  <si>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</si>
  <si>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</si>
  <si>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</si>
  <si>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</si>
  <si>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</si>
  <si>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</si>
  <si>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</si>
  <si>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</si>
  <si>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</si>
  <si>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</si>
  <si>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</si>
  <si>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</si>
  <si>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</si>
  <si>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</si>
  <si>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</si>
  <si>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</si>
  <si>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</si>
  <si>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</si>
  <si>
    <t>Acte de Naissance: Haute-Loire, Le Puy-en-Velay ; 1910 ; Naissances ;</t>
  </si>
  <si>
    <t xml:space="preserve">Acte de Naissance: Haute-Loire, Le Puy-en-Velay ; 1910 ; Naissances ; média 44/56
</t>
  </si>
  <si>
    <t xml:space="preserve">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</si>
  <si>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</si>
  <si>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- 1934 - 3 E 166, vue 79/381
</t>
  </si>
  <si>
    <r>
      <rPr>
        <b val="false"/>
        <i val="false"/>
        <u val="none"/>
      </rPr>
      <t xml:space="preserve">
</t>
    </r>
    <r>
      <rPr>
        <b val="false"/>
        <i/>
        <u val="none"/>
        <rFont val="Arial"/>
        <sz val="10"/>
        <color rgb="FF808080"/>
      </rPr>
      <t>Chercher acte de décès (14/07/1971) → lieu</t>
    </r>
  </si>
  <si>
    <t xml:space="preserve">D001 (livret de famille)
Acte de Naissance: Haute-Loire, Le Puy-en-Velay ; 1910 ; Naissances ; média 44/56 § 46/56
Acte de Mariage: Saint-Étienne, ETAT CIVIL : déclarations de mariages. - 1934 - 3 E 166, vue 79/381
Acte de décés: Hors ligne (voir livret famille) 
</t>
  </si>
  <si>
    <t>D001 (livret de famille)</t>
  </si>
  <si>
    <t xml:space="preserve">D001 (livret de famille)
Acte de Naissance: Haute-Loire, Le Puy-en-Velay ; 1910 ; Naissances ; média 44/56 § 46/56
Reconnu par P020 lors du mariage de sa mère P021
Acte de Mariage: Saint-Étienne, ETAT CIVIL : déclarations de mariages. - 1934 - 3 E 166, vue 79/381
Acte de décés: Hors ligne (voir livret famille) 
</t>
  </si>
  <si>
    <t xml:space="preserve">D001 (livret de famille)
Acte de Naissance: Haute-Loire, Le Puy-en-Velay ; 1910 ; Naissances ; média 44/56 § 46/56
D029 (acte mariage Cyprien et Elise) Reconnu par P020 lors du mariage de sa mère P021
Acte de Mariage: Saint-Étienne, ETAT CIVIL : déclarations de mariages. - 1934 - 3 E 166, vue 79/381
Acte de décés: Hors ligne (voir livret famille) 
</t>
  </si>
  <si>
    <t>Reconnu par cyprien lors de son mariage avec Elise. voir acte de naissance du PEPE et acte de mariage de ses parents.</t>
  </si>
  <si>
    <t>Reconnait le PEPE, le jour de son mariage avec Elise</t>
  </si>
  <si>
    <t>Reconnait le PEPE, le jour de son mariage avec Elise
Regarder s'il n'a pas de fraterie</t>
  </si>
  <si>
    <t>Naissance 10/09/1882 Saint-Étienne ← D004, D023 (29 ans en 1912)
Mariage 17/05/1912 avec P021 ← D023
Père de P002 (légitimation) ← D023
Décès 1971 ← D020 (tombe)</t>
  </si>
  <si>
    <t>Naissance 10/09/1882 Saint-Étienne ← D004, D023 (29 ans en 1912)
Acte de Naissance Saint-Étienne ETAT CIVIL : déclarations de naissances. - 1882 - 1882 - 2 E 94 vue 213/337
Mariage 17/05/1912 avec P021 ← D023
Père de P002 (légitimation) ← D023
Décès 1971 ← D020 (tombe)</t>
  </si>
  <si>
    <t>6 janvier 1971</t>
  </si>
  <si>
    <t>Reconnait le PEPE, le jour de son mariage avec Elise
l'acte de naissance, affirme qu'il s'est marié avec Elise le 17 mai?? 1912
l'acte de naissance, affirme qu'il est décédé le 6 janvier 1971 à Araules</t>
  </si>
  <si>
    <t>Jean Laurent</t>
  </si>
  <si>
    <t>Chercher acte de décès (30/10/1886 ?) → confirmer la date
Chercher acte de mariage avec P058 → date, lieu
Chercher acte de naissance (Saint-Étienne ?) 
32 ans en 1882 (acte naissance de Cyprien) = 1850</t>
  </si>
  <si>
    <t>Chercher acte de décès (18/07/1893 ?) → confirmer la date
Chercher acte de naissance (nom VILLARD ?)
Agée de 29 ans en 1882 (acte de naissance de cyprien) = 1853</t>
  </si>
  <si>
    <t>Chercher acte de décès (1971) → date exacte (tombe D020 dit 1885 pour la naissance : erreur probable)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</si>
  <si>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</si>
  <si>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 Hors ligne mais aucune info sur les autres actes</t>
  </si>
  <si>
    <t>Reconnait le PEPE, le jour de son mariage avec Elise
l'acte de naissance, affirme qu'il s'est marié avec Elise le 17 mai 1912
l'acte de naissance, affirme qu'il est décédé le 6 janvier 1971 à Araules</t>
  </si>
  <si>
    <t>Reconnait le PEPE, le jour de son mariage avec Elise
l'acte de naissance, affirme qu'il s'est marié avec Elise le 17 mai 1912
l'acte de naissance, affirme qu'il est décédé le 6 janvier 1971 à Araules
La tombe indique la naissance en 1885 (c'est une erreure sur la tombe)</t>
  </si>
  <si>
    <t>Acte de Naissance Saint-Jeures ; 1874-1895 ; Naissances ; 6 E 222/20 vue 429/594← D018 (acte), D023
Parents P035 / P036 ← D018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</si>
  <si>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</si>
  <si>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 acte décés Hors ligne</t>
  </si>
  <si>
    <t>sur acte de Naissance il y a un post-it, qui indique la date du 17 mai 1912 à Araules et pour Cyprien la date du 30 mai.</t>
  </si>
  <si>
    <t>sur acte de Naissance il y a un post-it, qui indique la date du 17 mai 1912(correspondrait au mariage sur acte de naissance de Cyprien) à Araules et pour Cyprien la date du 30 mai???.</t>
  </si>
  <si>
    <t>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</si>
  <si>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</si>
  <si>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</si>
  <si>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d'ARAULES.</t>
  </si>
  <si>
    <t>second fils, maréchal à Combevieille
Sur acte de naissance de sa fille Elise il serait né en 1853 cultivateur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</si>
  <si>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de St Jeure.</t>
  </si>
  <si>
    <t>second fils, maréchal à Combevieille
Sur acte de naissance de sa fille Elise il serait né en 1853 cultivateur à Charbonnières commune de St jeures</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</si>
  <si>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t>
  </si>
  <si>
    <t>Naissance vers 1851 ← D022 (29 ans en 1881), D021 (38 ans en 1892), D020 (tombe 1851)
Parents P029 / P030 ← D022
Mariage 17/08/1881 avec P036 ← D022
Acte de mariage : Araules ; 1871-1895 ; Mariages ; 6 E 7/23 vue 98/228
Père de P021 ← D018 ; de P024 ← D021
Frères et sœurs ← D005
Décès 1930 ← D020 (tombe)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</si>
  <si>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t>
  </si>
  <si>
    <t>9 avril 1854</t>
  </si>
  <si>
    <t>Naissance 09/04/1854 Saint-Jeures ← D022 (26 ans en 1881) ; année 1853 ← D020, D030
Parents P055 / P056 ← D022
Mariage 17/08/1881 avec P035 ← D022
Acte de Mariage : Araules ; 1871-1895 ; Mariages ; 6 E 7/23 vue 98/228
Mère de P021 ← D018 ; de P024 ← D021
Décès 1927 ← D020 (tombe)</t>
  </si>
  <si>
    <t xml:space="preserve">20 mars 1870 </t>
  </si>
  <si>
    <t>Naissance vers 1851 ← D022 (29 ans en 1881), D021 (38 ans en 1892), D020 (tombe 1851)
Acte de naissance en 1852 Araules ; 1851-1860 ; Naissances ; Décès ; 6 E 7/17 vue 19/254 il y a bien un JP avec pére Jacques LAULAGNIER mais mére Elisabeth BECHERE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</si>
  <si>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</si>
  <si>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</si>
  <si>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</si>
  <si>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</si>
  <si>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</si>
  <si>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Chercher acte de naissance (Araules ?, 1851-1852) → date, lieu, confirmer parents P029 / P030
Dans acte décénale j'ai un JP LAULAGNER né en janvier 1852 acte 30
Chercher acte de décès (1930) → date exacte
Chercher contrat de mariage (Me Courbon, Yssingeaux, 04/08/1881) → confirmer les dots</t>
  </si>
  <si>
    <t>27 janvier 1852</t>
  </si>
  <si>
    <t>Naissance vers 1851 ← D022 (29 ans en 1881), D021 (38 ans en 1892), D020 (tombe 1851)
Acte de naissance: Araules ; 1851-1860 ; Naissances ; Décès ; 6 E 7/17 vue 19/254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</si>
  <si>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</si>
  <si>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</si>
  <si>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r>
      <rPr>
        <b val="false"/>
        <i val="false"/>
        <u val="none"/>
      </rPr>
      <t xml:space="preserve">
</t>
    </r>
    <r>
      <rPr>
        <b val="false"/>
        <i/>
        <u val="none"/>
        <rFont val="Arial"/>
        <sz val="10"/>
        <color rgb="FF000000"/>
      </rPr>
      <t>Chercher acte de décès (1930) → date exactets</t>
    </r>
  </si>
  <si>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</si>
  <si>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</si>
  <si>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 xml:space="preserve">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</si>
  <si>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1 décembre 1930</t>
  </si>
  <si>
    <t>Marie Elisabeth</t>
  </si>
  <si>
    <t>25 mai 1882</t>
  </si>
  <si>
    <t>Dates 1882-1913 ← D020 (tombe)
Acte de Naissance: Saint-Jeures ; 1874-1895 ; Naissances ; 6 E 222/20 vue 238/594</t>
  </si>
  <si>
    <t>Chercher acte de décès (1913)
Garder distincte de P054 (Marie, sœur de Pierre)</t>
  </si>
  <si>
    <t>Garder distincte de P054 (Marie, sœur de Pierre)</t>
  </si>
  <si>
    <t>Dates 1882-1913 ← D020 (tombe)
Acte de Naissance: Saint-Jeures ; 1874-1895 ; Naissances ; 6 E 222/20 vue 238/594
Acte de décés: Araules ; 1904-1913 ; Naissances ; Décès ; 1925 W 20 vue 256/261</t>
  </si>
  <si>
    <t>célibataire</t>
  </si>
  <si>
    <t>5 mars 1913</t>
  </si>
  <si>
    <t>Ne pas confondre avec Marie, sœur de Pierre (P054).</t>
  </si>
  <si>
    <t>Naissance 18/09/1892 ← D021 (acte)
Acte de Naissance: Saint-Jeures ; 1874-1895 ; Naissances ; 6 E 222/20 vue 519/594
Parents P035 / P036 ← D021
Décès 18/05/1920 ← D019 (acte, à transcrire), D020 (tombe)
Sœur de P021 ← D021 (mêmes parents)</t>
  </si>
  <si>
    <t>Naissance 18/09/1892 ← D021 (acte)
Acte de Naissance: Saint-Jeures ; 1874-1895 ; Naissances ; 6 E 222/20 vue 519/594
Décès 18/05/1920 ← D019 (acte, à transcrire
Acte de décés : Araules ; 1914-1933 ; Décès ; 1925 W 24 vue 61/170e)
Sœur de P021 ← D021 (mêmes parents)</t>
  </si>
  <si>
    <t>Ne pas confondre avec Marguerite, sœur de Pierre (P053).</t>
  </si>
  <si>
    <t>26 octobre 1894</t>
  </si>
  <si>
    <t>Marie Philoméne</t>
  </si>
  <si>
    <r>
      <rPr>
        <b val="false"/>
        <i val="false"/>
        <u val="none"/>
      </rPr>
      <t xml:space="preserve">
</t>
    </r>
    <r>
      <rPr>
        <b val="false"/>
        <i/>
        <u val="none"/>
        <rFont val="Arial"/>
        <sz val="10"/>
        <color rgb="FF000000"/>
      </rPr>
      <t>Vérifier le prénom dans D001 ou D028</t>
    </r>
  </si>
  <si>
    <t>Acte de Naissance: Araules ; 1871-1895 ; Naissances ; 6 E 7/21 vue 397/416
Lien avec Élise (« tante Maria, sœur de notre grand-mère ») ← D028 : HYPOTHÈSE, voir colonne P</t>
  </si>
  <si>
    <t xml:space="preserve">Acte de Naissance: Araules ; 1871-1895 ; Naissances ; 6 E 7/21 vue 397/416
</t>
  </si>
  <si>
    <t>Lien avec Élise (« tante Maria, sœur de notre grand-mère ») ← D028 : HYPOTHÈSE, voir colonne P</t>
  </si>
  <si>
    <t>« tante Maria, sœur de notre grand-mère » ← D028</t>
  </si>
  <si>
    <t>elle se serait marié avec un Joseph FAYOLLE à ARAULES le 28 octobre 1930
Chercher act de décé</t>
  </si>
  <si>
    <t>Acte de Naissance: Saint-Jeures ; 1874-1895 ; Naissances ; 6 E 222/20 vue 519/594
Acte de décés : Araules ; 1914-1933 ; Décès ; 1925 W 24 vue 61/1e)
Sœur de P021 ← D021 (mêmes parents)</t>
  </si>
  <si>
    <t xml:space="preserve">Acte de Naissance: Saint-Jeures ; 1874-1895 ; Naissances ; 6 E 222/20 vue 519/594
Acte de décés : Araules ; 1914-1933 ; Décès ; 1925 W 24 vue 61/1
</t>
  </si>
  <si>
    <t xml:space="preserve">Acte de Naissance: Saint-Jeures ; 1874-1895 ; Naissances ; 6 E 222/20 vue 519/594
Acte de décés : Araules ; 1914-1933 ; Décès ; 1925 W 24 vue 61/170
</t>
  </si>
  <si>
    <t xml:space="preserve">D001 (livret de famille)
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</si>
  <si>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son acte de naissance du PEPE et acte de mariage de ses parents.</t>
  </si>
  <si>
    <t>Naissance 10/09/1882 Saint-Étienne ← D004
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</si>
  <si>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</si>
  <si>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</si>
  <si>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</si>
  <si>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Reconnait le PEPE, le jour de son mariage avec Elise
es
La tombe indique la naissance en 1885 (c'est une erreure sur la tombe)</t>
  </si>
  <si>
    <t>Reconnait le PEPE, le jour de son mariage avec Elise
La tombe indique la naissance en 1885 (c'est une erreure sur la tombe)</t>
  </si>
  <si>
    <t>Reconnait le PEPE, le jour de son mariage avec Elise
La tombe indique la naissance en 1885 (c'est une erreure sur la tombe)</t>
  </si>
  <si>
    <t>Acte de Naissance Saint-Jeures ; 1874-1895 ; Naissances ; 6 E 222/20 vue 429/594
Mère de P002 ← D029
Sœur de P024 ← D021 (mêmes parents)
Décès 1971 ← D020 (tombe) acte décés Hors ligne</t>
  </si>
  <si>
    <t>Acte de Naissance Saint-Jeures ; 1874-1895 ; Naissances ; 6 E 222/20 vue 429/594
Acte de mariage : Araules ; 1904-1913 ; Mariages ; Publications de mariage, 1925 W 21 vue 72/159
Mère de P002 ← D029
Sœur de P024 ← D021 (mêmes parents)
Décès 1971 ← D020 (tombe) acte décés Hors ligne</t>
  </si>
  <si>
    <t>Acte de Naissance Saint-Jeures ; 1874-1895 ; Naissances ; 6 E 222/20 vue 429/594
Acte de mariage : Araules ; 1904-1913 ; Mariages ; Publications de mariage, 1925 W 21 vue 72/159
Sœur de P024 ← D021 (mêmes parents)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</si>
  <si>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</si>
  <si>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</si>
  <si>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Saint-Étienne ETAT CIVIL : déclarations de naissances. - 1882 - 1882 - 2 E 94 vue 213/337
Acte de mariage : Araules ; 1904-1913 ; Mariages ; Publications de mariage, 1925 W 21 vue 72/159
Décès 1971 ← D020 (tombe); Hors ligne</t>
  </si>
  <si>
    <t>Acte de Naissance Saint-Étienne ETAT CIVIL : déclarations de naissances. - 1882 - 1882 - 2 E 94 vue 213/337
Acte de mariage : Araules ; 1904-1913 ; Mariages ; Publications de mariage, 1925 W 21 vue 72/159
Décès 1971 ← D020 (tombe); acte de décés Hors ligne</t>
  </si>
  <si>
    <t>sur son acte de Naissance il y a un post-it, qui indique la date du 17 mai 1912(correspondrait au mariage avec Cyprien) à Araules et pour Cyprien la date du 30 mai???.
Son père est Pierre LAULAGNIER ;cultivateur de 36ans(donc 1853) , domicilié à Charbonnières commune de St Jeure.</t>
  </si>
  <si>
    <t>jean-Pierre</t>
  </si>
  <si>
    <t>1887</t>
  </si>
  <si>
    <t>Jean-Pierre Jacques Ambroise</t>
  </si>
  <si>
    <t xml:space="preserve">Jean-Pierre </t>
  </si>
  <si>
    <t>jean-Pierre Jacques Ambroise</t>
  </si>
  <si>
    <t>marie rosalie vincintime DELORME</t>
  </si>
  <si>
    <t>fils de Jean-Pierre et Rosalie PEYRACHON</t>
  </si>
  <si>
    <t>25 mars 1887</t>
  </si>
  <si>
    <t>P021;P024;P025;P059</t>
  </si>
  <si>
    <t xml:space="preserve">mariage avec </t>
  </si>
  <si>
    <t>mariage avec marie rosalie vincintime DELORME
Décés</t>
  </si>
  <si>
    <t>Acte de Naissance: Saint-Jeures ; 1874-1895 ; Naissances ; 6 E 222/20</t>
  </si>
  <si>
    <t>Acte de Naissance: Saint-Jeures ; 1874-1895 ; Naissances ; 6 E 222/20 vue 374/594</t>
  </si>
  <si>
    <t>P026</t>
  </si>
  <si>
    <t>P021;P024;P025;P026</t>
  </si>
  <si>
    <t>P059;P021;P024;P026</t>
  </si>
  <si>
    <t>P059;P021;P024;P025;P026</t>
  </si>
  <si>
    <t>P059;P024;P025;P026</t>
  </si>
  <si>
    <t xml:space="preserve">Acte de Naissance: Saint-Jeures ; 1874-1895 ; Naissances ; 6 E 222/20 vue 374/594
Acte de Mariage: Saint-Jeures ; 1904-1913 ; Mariages ; Publications de mariage ; 1925 W 791 vue 87/168
Acte de décés: </t>
  </si>
  <si>
    <t>P031</t>
  </si>
  <si>
    <t>DELORME</t>
  </si>
  <si>
    <t xml:space="preserve">marie rosalie vincintime </t>
  </si>
  <si>
    <t>Acte de Mariage : Saint-Jeures ; 1904-1913 ; Mariages ; Publications de mariage ; 1925 W 791</t>
  </si>
  <si>
    <t xml:space="preserve">acte de naissance; acte de décés, </t>
  </si>
  <si>
    <t>11 octobre 1888</t>
  </si>
  <si>
    <t>Saint-Jeaures(Haute-Loire)</t>
  </si>
  <si>
    <t>Delorme Jean Claude</t>
  </si>
  <si>
    <t>DELEAGE Marie Magdeleine</t>
  </si>
  <si>
    <t>DELORME Jean Claude</t>
  </si>
  <si>
    <t xml:space="preserve">Marie rosalie vincintime </t>
  </si>
  <si>
    <t>Décés ??</t>
  </si>
  <si>
    <t>P032</t>
  </si>
  <si>
    <t>FAYOLLE</t>
  </si>
  <si>
    <t>13 mai 1897</t>
  </si>
  <si>
    <t>Araules(Haute-Loire)</t>
  </si>
  <si>
    <t>FAYOLLE Pierre</t>
  </si>
  <si>
    <t>RICHARD?? Marie-Virginie</t>
  </si>
  <si>
    <t>Acte de Mariage : Araules ; 1914-1933 ; Mariages ; 1925 W 23 vue 144/168</t>
  </si>
  <si>
    <t>Décés??</t>
  </si>
  <si>
    <t>confirmer la fraterie</t>
  </si>
  <si>
    <t>con</t>
  </si>
  <si>
    <t>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</si>
  <si>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</si>
  <si>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</si>
  <si>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</si>
  <si>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</si>
  <si>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</si>
  <si>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</si>
  <si>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t>
  </si>
  <si>
    <t>Date exacte du décés</t>
  </si>
  <si>
    <t>Naissance 09/04/1854 Saint-Jeures ← D022 (26 ans en 1881) ; année 1853 ← D020
Parents P055 / P056 ← D022
Mariage 17/08/1881 avec P035 ← D022
Acte de Mariage : Araules ; 1871-1895 ; Mariages ; 6 E 7/23 vue 98/228
Mère de P021 ← D018 ; de P024 ← D021
Décès 1927 ← D020 (tombe)</t>
  </si>
  <si>
    <t>Acte de Naissance: Saint-Jeures ; 1851-1860 ; Naissances ; 6 E 222/14 vue 143/342 
Parents P055 / P056 ← D022
Mariage 17/08/1881 avec P035 ← D022
Acte de Mariage : Araules ; 1871-1895 ; Mariages ; 6 E 7/23 vue 98/228
Mère de P021 ← D018 ; de P024 ← D021
Décès 1927 ← D020 (tombe)</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</si>
  <si>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 22
Acte de Mariage :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</si>
  <si>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</si>
  <si>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</si>
  <si>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</si>
  <si>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t>Mariage avec P030 ← D024
Acte de Marirage : Araules ; 1827-1850 ; Mariages ; 6 E 7/15 vue 54/231
Parents P062 / P063 ← D024 (acte peu lisible)
Père de P035 ← D022
Décès 30/04/1887 ← D005 (partage 1902)
Enfants (7) ← D005</t>
  </si>
  <si>
    <t>Acte de Naissance: 
Acte de Marirage : Araules ; 1827-1850 ; Mariages ; 6 E 7/15 vue 54/231
Parents P062 / P063 ← D024 (acte peu lisible)
Père de P035 ← D022
Décès 30/04/1887 ← D005 (partage 1902)
Enfants (7) ← D005</t>
  </si>
  <si>
    <r>
      <rPr>
        <b val="false"/>
        <i/>
        <u val="none"/>
        <rFont val="Arial"/>
        <sz val="10"/>
        <color rgb="FF000000"/>
      </rPr>
      <t xml:space="preserve">Chercher acte de naissance (Araules, vers 1800-1810) → date, lieu, parents (relire D024 sur l'original)
Chercher acte de décès (30/04/1887) → confirmer
</t>
    </r>
    <r>
      <rPr>
        <b val="false"/>
        <i val="false"/>
        <u val="none"/>
        <rFont val="Segoe UI"/>
        <sz val="10"/>
        <color rgb="FF000000"/>
      </rPr>
      <t>Traduire acte de Mariage : Araules ; 1827-1850 ; Mariages ; 6 E 7/15 vue 54/231</t>
    </r>
  </si>
  <si>
    <t>Acte de Naissance: 
Acte de Marirage : Araules ; 1827-1850 ; Mariages ; 6 E 7/15 vue 54/231
22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</si>
  <si>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</si>
  <si>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</si>
  <si>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Acte de décés : Araules ; 1871-1895 ; Décès ; 6 E 7/24 vue 148/215
Enfants (7) ← D005</t>
  </si>
  <si>
    <t>30 aout 1887</t>
  </si>
  <si>
    <t>Décés 30 avril sur acte notarié, 30 aout de l'année 1887.</t>
  </si>
  <si>
    <r>
      <rPr>
        <b val="false"/>
        <i/>
        <u val="none"/>
        <rFont val="Arial"/>
        <sz val="10"/>
        <color rgb="FF000000"/>
      </rPr>
      <t xml:space="preserve">Chercher acte de naissance (Araules, vers 1800-1810) → date, lieu, parents (relire D024 sur l'original)
</t>
    </r>
    <r>
      <rPr>
        <b val="false"/>
        <i val="false"/>
        <u val="none"/>
        <rFont val="Segoe UI"/>
        <sz val="10"/>
        <color rgb="FF000000"/>
      </rPr>
      <t>Traduire acte de Mariage : Araules ; 1827-1850 ; Mariages ; 6 E 7/15 vue 54/231</t>
    </r>
  </si>
  <si>
    <t>Jean Jacques</t>
  </si>
  <si>
    <t>en 1809</t>
  </si>
  <si>
    <r>
      <rPr>
        <b val="false"/>
        <i/>
        <u val="none"/>
        <rFont val="Arial"/>
        <sz val="10"/>
        <color rgb="FF000000"/>
      </rPr>
      <t xml:space="preserve">Traduire acte de Naissance : Araules ; 1807-1813 ; Naissances ; Mariages ; Décès ; 6 E 7/10 vue 69/205
</t>
    </r>
    <r>
      <rPr>
        <b val="false"/>
        <i val="false"/>
        <u val="none"/>
        <rFont val="Segoe UI"/>
        <sz val="10"/>
        <color rgb="FF000000"/>
      </rPr>
      <t xml:space="preserve">Traduire acte de Mariage : Araules ; 1827-1850 ; Mariages ; 6 E 7/15 vue 54/231
</t>
    </r>
  </si>
  <si>
    <t>Acte de Naissance: Araules ; 1807-1813 ; Naissances ; Mariages ; Décès ; 6 E 7/10 vue 69/205
Acte de Marirage : Araules ; 1827-1850 ; Mariages ; 6 E 7/15 vue 54/231
Acte de décés : Araules ; 1871-1895 ; Décès ; 6 E 7/24 vue 148/21505</t>
  </si>
  <si>
    <t>Acte de Naissance: Araules ; 1807-1813 ; Naissances ; Mariages ; Décès ; 6 E 7/10 vue 69/205
Acte de Marirage : Araules ; 1827-1850 ; Mariages ; 6 E 7/15 vue 54/231
Acte de décés : Araules ; 1871-1895 ; Décès ; 6 E 7/24 vue 148/21505</t>
  </si>
  <si>
    <t>6 octobre 1809??</t>
  </si>
  <si>
    <t>6?? octobre?? 1809</t>
  </si>
  <si>
    <t>9?? juillet?? 1812??</t>
  </si>
  <si>
    <t>6 octobre 1809</t>
  </si>
</sst>
</file>

<file path=xl/styles.xml><?xml version="1.0" encoding="utf-8"?>
<styleSheet xmlns="http://schemas.openxmlformats.org/spreadsheetml/2006/main">
  <numFmts count="2">
    <numFmt numFmtId="164" formatCode="General"/>
    <numFmt numFmtId="165" formatCode="@"/>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
    <font>
      <i/>
      <sz val="10"/>
      <name val="Arial"/>
      <color rgb="FF808080"/>
    </font>
    <font>
      <i/>
      <sz val="10"/>
      <name val="Arial"/>
      <color rgb="FFF2F2F2"/>
      <charset val="1"/>
      <family val="2"/>
    </font>
    <font>
      <sz val="11"/>
      <name val="Calibri"/>
      <color theme="10"/>
      <u val="single"/>
      <charset val="1"/>
      <family val="2"/>
    </font>
    <font>
      <i/>
      <sz val="10"/>
      <name val="Arial"/>
      <color rgb="FF000000"/>
    </font>
    <font>
      <sz val="10"/>
      <name val="Segoe UI"/>
      <color rgb="FF000000"/>
    </font>
  </fonts>
  <fills count="12">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
      <patternFill patternType="solid">
        <fgColor rgb="FFFFFF00"/>
        <bgColor rgb="FFFFFFFF"/>
      </patternFill>
    </fill>
    <fill>
      <patternFill patternType="solid">
        <fgColor rgb="FFFFFF00"/>
      </patternFill>
    </fill>
    <fill>
      <patternFill patternType="solid">
        <fgColor rgb="FFD9D9D9"/>
        <bgColor rgb="FFFFFF00"/>
      </patternFill>
    </fill>
  </fills>
  <borders count="4">
    <border diagonalUp="false" diagonalDown="false">
      <left/>
      <right/>
      <top/>
      <bottom/>
      <diagonal/>
    </border>
    <border diagonalUp="false" diagonalDown="false">
      <left style="thin"/>
      <right style="thin"/>
      <top style="thin"/>
      <bottom style="thin"/>
      <diagonal/>
    </border>
    <border>
      <left style="thin"/>
      <right style="thin"/>
      <top style="thin"/>
      <bottom style="thin"/>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49" applyNumberFormat="1" fontId="6" applyFont="1" fillId="0" applyFill="1" borderId="2" applyBorder="1" applyAlignment="1" applyProtection="1" xfId="0">
      <alignment horizontal="center"/>
      <protection/>
    </xf>
    <xf numFmtId="49" applyNumberFormat="1" fontId="16" applyFont="1" fillId="0" applyFill="1" borderId="2" applyBorder="1" applyAlignment="1" applyProtection="1" xfId="0">
      <alignment horizontal="center"/>
      <protection/>
    </xf>
    <xf numFmtId="0" applyNumberFormat="1" fontId="0" applyFont="1" fillId="0" applyFill="1" borderId="2" applyBorder="1" applyAlignment="1" applyProtection="1" xfId="0">
      <alignment/>
      <protection/>
    </xf>
    <xf numFmtId="0" applyNumberFormat="1" fontId="6" applyFont="1" fillId="0" applyFill="1" borderId="2" applyBorder="1" applyAlignment="1" applyProtection="1" xfId="0">
      <alignment wrapText="1" vertical="top"/>
      <protection/>
    </xf>
    <xf numFmtId="0" applyNumberFormat="1" fontId="0" applyFont="1" fillId="0" applyFill="1" applyAlignment="1" applyProtection="1" xfId="0">
      <alignment/>
      <protection/>
    </xf>
    <xf numFmtId="0" applyNumberFormat="1" fontId="0" applyFont="1" fillId="4" applyFill="1" borderId="2" applyBorder="1" applyAlignment="1" applyProtection="1" xfId="0">
      <alignment/>
      <protection/>
    </xf>
    <xf numFmtId="0" applyNumberFormat="1" fontId="0" applyFont="1" fillId="5" applyFill="1" borderId="2" applyBorder="1" applyAlignment="1" applyProtection="1" xfId="0">
      <alignment/>
      <protection/>
    </xf>
    <xf numFmtId="0" applyNumberFormat="1" fontId="0" applyFont="1" fillId="6" applyFill="1" borderId="2" applyBorder="1" applyAlignment="1" applyProtection="1" xfId="0">
      <alignment/>
      <protection/>
    </xf>
    <xf numFmtId="0" applyNumberFormat="1" fontId="0" applyFont="1" fillId="3" applyFill="1" borderId="2" applyBorder="1" applyAlignment="1" applyProtection="1" xfId="0">
      <alignment/>
      <protection/>
    </xf>
    <xf numFmtId="0" applyNumberFormat="1" fontId="0" applyFont="1" fillId="7" applyFill="1" borderId="2" applyBorder="1" applyAlignment="1" applyProtection="1" xfId="0">
      <alignment/>
      <protection/>
    </xf>
    <xf numFmtId="0" applyNumberFormat="1" fontId="0" applyFont="1" fillId="8" applyFill="1" borderId="2" applyBorder="1" applyAlignment="1" applyProtection="1" xfId="0">
      <alignment/>
      <protection/>
    </xf>
    <xf numFmtId="0" applyNumberFormat="1" fontId="0" applyFont="1" fillId="0" applyFill="1" borderId="2" applyBorder="1" applyAlignment="1" applyProtection="1" xfId="0">
      <alignment horizontal="center"/>
      <protection/>
    </xf>
    <xf numFmtId="49" applyNumberFormat="1" fontId="6" applyFont="1" fillId="3" applyFill="1" borderId="2" applyBorder="1" applyAlignment="1" applyProtection="1" xfId="0">
      <alignment horizontal="center"/>
      <protection/>
    </xf>
    <xf numFmtId="0" applyNumberFormat="1" fontId="6" applyFont="1" fillId="3" applyFill="1" borderId="2" applyBorder="1" applyAlignment="1" applyProtection="1" xfId="0">
      <alignment wrapText="1" vertical="top"/>
      <protection/>
    </xf>
    <xf numFmtId="49" applyNumberFormat="1" fontId="6" applyFont="1" fillId="4" applyFill="1" borderId="2" applyBorder="1" applyAlignment="1" applyProtection="1" xfId="0">
      <alignment horizontal="center"/>
      <protection/>
    </xf>
    <xf numFmtId="0" applyNumberFormat="1" fontId="6" applyFont="1" fillId="4" applyFill="1" borderId="2" applyBorder="1" applyAlignment="1" applyProtection="1" xfId="0">
      <alignment wrapText="1" vertical="top"/>
      <protection/>
    </xf>
    <xf numFmtId="0" applyNumberFormat="1" fontId="0" applyFont="1" fillId="4" applyFill="1" borderId="2" applyBorder="1" applyAlignment="1" applyProtection="1" xfId="0">
      <alignment horizontal="center"/>
      <protection/>
    </xf>
    <xf numFmtId="49" applyNumberFormat="1" fontId="6" applyFont="1" fillId="7" applyFill="1" borderId="2" applyBorder="1" applyAlignment="1" applyProtection="1" xfId="0">
      <alignment horizontal="center"/>
      <protection/>
    </xf>
    <xf numFmtId="0" applyNumberFormat="1" fontId="6" applyFont="1" fillId="7" applyFill="1" borderId="2" applyBorder="1" applyAlignment="1" applyProtection="1" xfId="0">
      <alignment wrapText="1" vertical="top"/>
      <protection/>
    </xf>
    <xf numFmtId="0" applyNumberFormat="1" fontId="6" applyFont="1" fillId="8" applyFill="1" borderId="2" applyBorder="1" applyAlignment="1" applyProtection="1" xfId="0">
      <alignment horizontal="center"/>
      <protection/>
    </xf>
    <xf numFmtId="49" applyNumberFormat="1" fontId="6" applyFont="1" fillId="8" applyFill="1" borderId="2" applyBorder="1" applyAlignment="1" applyProtection="1" xfId="0">
      <alignment horizontal="center"/>
      <protection/>
    </xf>
    <xf numFmtId="0" applyNumberFormat="1" fontId="6" applyFont="1" fillId="8" applyFill="1" borderId="2" applyBorder="1" applyAlignment="1" applyProtection="1" xfId="0">
      <alignment wrapText="1" vertical="top"/>
      <protection/>
    </xf>
    <xf numFmtId="0" applyNumberFormat="1" fontId="8" applyFont="1" fillId="6" applyFill="1" borderId="2" applyBorder="1" applyAlignment="1" applyProtection="1" xfId="0">
      <alignment horizontal="center"/>
      <protection/>
    </xf>
    <xf numFmtId="0" applyNumberFormat="1" fontId="8" applyFont="1" fillId="0" applyFill="1" borderId="2" applyBorder="1" applyAlignment="1" applyProtection="1" xfId="0">
      <alignment horizontal="center"/>
      <protection/>
    </xf>
    <xf numFmtId="0" applyNumberFormat="1" fontId="17" applyFont="1" fillId="0" applyFill="1" applyAlignment="1" applyProtection="1" xfId="0">
      <alignment/>
      <protection/>
    </xf>
    <xf numFmtId="0" applyNumberFormat="1" fontId="0" applyFont="1" fillId="9" applyFill="1" applyAlignment="1" applyProtection="1" xfId="0">
      <alignment/>
      <protection/>
    </xf>
    <xf numFmtId="0" applyNumberFormat="1" fontId="6" applyFont="1" fillId="9" applyFill="1" borderId="3" applyBorder="1" applyAlignment="1" applyProtection="1" xfId="0">
      <alignment horizontal="center"/>
      <protection/>
    </xf>
    <xf numFmtId="49" applyNumberFormat="1" fontId="6" applyFont="1" fillId="9" applyFill="1" borderId="3" applyBorder="1" applyAlignment="1" applyProtection="1" xfId="0">
      <alignment horizontal="center"/>
      <protection/>
    </xf>
    <xf numFmtId="0" applyNumberFormat="1" fontId="6" applyFont="1" fillId="9" applyFill="1" borderId="3" applyBorder="1" applyAlignment="1" applyProtection="1" xfId="0">
      <alignment wrapText="1" vertical="top"/>
      <protection/>
    </xf>
    <xf numFmtId="0" applyNumberFormat="1" fontId="11" applyFont="1" fillId="9" applyFill="1" applyAlignment="1" applyProtection="1" xfId="0">
      <alignment/>
      <protection/>
    </xf>
    <xf numFmtId="0" applyNumberFormat="1" fontId="0" applyFont="1" fillId="9" applyFill="1" borderId="3" applyBorder="1" applyAlignment="1" applyProtection="1" xfId="0">
      <alignment/>
      <protection/>
    </xf>
    <xf numFmtId="0" applyNumberFormat="1" fontId="0" applyFont="1" fillId="0" applyFill="1" applyAlignment="1" applyProtection="1" xfId="0">
      <alignment/>
      <protection/>
    </xf>
    <xf numFmtId="0" applyNumberFormat="1" fontId="7" applyFont="1" fillId="0" applyFill="1" applyAlignment="1" applyProtection="1" xfId="0">
      <alignment/>
      <protection/>
    </xf>
    <xf numFmtId="49" applyNumberFormat="1" fontId="8" applyFont="1" fillId="0" applyFill="1" borderId="3" applyBorder="1" applyAlignment="1" applyProtection="1" xfId="0">
      <alignment horizontal="center"/>
      <protection/>
    </xf>
    <xf numFmtId="0" applyNumberFormat="1" fontId="8" applyFont="1" fillId="0" applyFill="1" borderId="3" applyBorder="1" applyAlignment="1" applyProtection="1" xfId="0">
      <alignment wrapText="1" vertical="top"/>
      <protection/>
    </xf>
    <xf numFmtId="0" applyNumberFormat="1" fontId="7" applyFont="1" fillId="0" applyFill="1" borderId="3" applyBorder="1" applyAlignment="1" applyProtection="1" xfId="0">
      <alignment/>
      <protection/>
    </xf>
    <xf numFmtId="0" applyNumberFormat="1" fontId="0" applyFont="1" fillId="0" applyFill="1" borderId="3" applyBorder="1" applyAlignment="1" applyProtection="1" xfId="0">
      <alignment/>
      <protection/>
    </xf>
    <xf numFmtId="0" applyNumberFormat="1" fontId="0" applyFont="1" fillId="10" applyFill="1" applyAlignment="1" applyProtection="1" xfId="0">
      <alignment/>
      <protection/>
    </xf>
    <xf numFmtId="0" applyNumberFormat="1" fontId="6" applyFont="1" fillId="10" applyFill="1" borderId="3" applyBorder="1" applyAlignment="1" applyProtection="1" xfId="0">
      <alignment horizontal="center"/>
      <protection/>
    </xf>
    <xf numFmtId="49" applyNumberFormat="1" fontId="6" applyFont="1" fillId="10" applyFill="1" borderId="3" applyBorder="1" applyAlignment="1" applyProtection="1" xfId="0">
      <alignment horizontal="center"/>
      <protection/>
    </xf>
    <xf numFmtId="0" applyNumberFormat="1" fontId="6" applyFont="1" fillId="10" applyFill="1" borderId="3" applyBorder="1" applyAlignment="1" applyProtection="1" xfId="0">
      <alignment wrapText="1" vertical="top"/>
      <protection/>
    </xf>
    <xf numFmtId="0" applyNumberFormat="1" fontId="0" applyFont="1" fillId="10" applyFill="1" borderId="3" applyBorder="1" applyAlignment="1" applyProtection="1" xfId="0">
      <alignment/>
      <protection/>
    </xf>
    <xf numFmtId="0" applyNumberFormat="1" fontId="10" applyFont="1" fillId="0" applyFill="1" applyAlignment="1" applyProtection="1" xfId="0">
      <alignment/>
      <protection/>
    </xf>
    <xf numFmtId="0" applyNumberFormat="1" fontId="0" applyFont="1" fillId="11" applyFill="1" borderId="3" applyBorder="1" applyAlignment="1" applyProtection="1" xfId="0">
      <alignment/>
      <protection/>
    </xf>
    <xf numFmtId="0" applyNumberFormat="1" fontId="0" applyFont="1" fillId="11" applyFill="1" applyAlignment="1" applyProtection="1" xfId="0">
      <alignment/>
      <protection/>
    </xf>
    <xf numFmtId="0" applyNumberFormat="1" fontId="6" applyFont="1" fillId="11" applyFill="1" borderId="3" applyBorder="1" applyAlignment="1" applyProtection="1" xfId="0">
      <alignment horizontal="center"/>
      <protection/>
    </xf>
    <xf numFmtId="49" applyNumberFormat="1" fontId="6" applyFont="1" fillId="11" applyFill="1" borderId="3" applyBorder="1" applyAlignment="1" applyProtection="1" xfId="0">
      <alignment horizontal="center"/>
      <protection/>
    </xf>
    <xf numFmtId="0" applyNumberFormat="1" fontId="6" applyFont="1" fillId="11" applyFill="1" borderId="3" applyBorder="1" applyAlignment="1" applyProtection="1" xfId="0">
      <alignment wrapText="1" vertical="top"/>
      <protection/>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hyperlink" TargetMode="External" Target="https://www.geneanet.org/cimetieres/view/12570346/persons/?individu_filter=LAULAGNIER%2BPierre"/><Relationship Id="rId4" Type="http://schemas.openxmlformats.org/officeDocument/2006/relationships/hyperlink" TargetMode="External" Target="https://drive.proton.me/urls/AC4M4YDJ24#6Y4DAFiu1nc7"/><Relationship Id="rId5" Type="http://schemas.openxmlformats.org/officeDocument/2006/relationships/hyperlink" TargetMode="External" Target="https://drive.proton.me/urls/QK47AVTBE0#sYRXRYgNouVv"/></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A1">
      <pane ySplit="1" topLeftCell="A19" activePane="bottomLeft" state="frozen"/>
      <selection pane="bottomLeft" activeCell="A38" sqref="38:38" activeCellId="0"/>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1" hidden="false" outlineLevel="0" max="4" min="4" style="1" width="17.36328125" bestFit="1"/>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1" hidden="false" outlineLevel="0" max="8" min="8" style="1" width="15.7265625" bestFit="1"/>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1" hidden="false" outlineLevel="0" max="16" min="16" style="1" width="76.81640625"/>
    <col collapsed="false" customWidth="1" hidden="false" outlineLevel="0" max="17" min="17" style="1" width="44.453125" bestFit="1"/>
    <col collapsed="false" customWidth="1" hidden="false" outlineLevel="0" max="18" min="18" style="1" width="91.90625"/>
    <col collapsed="false" customWidth="1" hidden="false" outlineLevel="0" max="19" min="19" style="1" width="77.08984375"/>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ustomFormat="1" s="66">
      <c r="A2" s="50" t="s">
        <v>19</v>
      </c>
      <c r="B2" s="50" t="s">
        <v>20</v>
      </c>
      <c r="C2" s="50" t="s">
        <v>21</v>
      </c>
      <c r="D2" s="50" t="s">
        <v>22</v>
      </c>
      <c r="E2" s="50" t="s">
        <v>23</v>
      </c>
      <c r="F2" s="62" t="s">
        <v>24</v>
      </c>
      <c r="G2" s="50" t="s">
        <v>25</v>
      </c>
      <c r="H2" s="62" t="s">
        <v>26</v>
      </c>
      <c r="I2" s="50" t="s">
        <v>27</v>
      </c>
      <c r="J2" s="50" t="s">
        <v>28</v>
      </c>
      <c r="K2" s="50" t="s">
        <v>29</v>
      </c>
      <c r="L2" s="50" t="s">
        <v>30</v>
      </c>
      <c r="M2" s="50">
        <v>1</v>
      </c>
      <c r="N2" s="50" t="s">
        <v>31</v>
      </c>
      <c r="O2" s="50" t="str">
        <f>IF($A2="","",IF($R2="","à confirmer",IF($P2&lt;&gt;"","partiel","confirmé")))</f>
        <v>confirmé</v>
      </c>
      <c r="P2" s="65"/>
      <c r="Q2" s="73" t="s">
        <v>33</v>
      </c>
      <c r="R2" s="65" t="s">
        <v>786</v>
      </c>
      <c r="S2" s="65"/>
    </row>
    <row r="3" customHeight="1" ht="69" customFormat="1" s="66">
      <c r="A3" s="50" t="s">
        <v>29</v>
      </c>
      <c r="B3" s="50" t="s">
        <v>35</v>
      </c>
      <c r="C3" s="50" t="s">
        <v>21</v>
      </c>
      <c r="D3" s="50"/>
      <c r="E3" s="50" t="s">
        <v>36</v>
      </c>
      <c r="F3" s="62" t="s">
        <v>37</v>
      </c>
      <c r="G3" s="50" t="s">
        <v>38</v>
      </c>
      <c r="H3" s="62" t="s">
        <v>39</v>
      </c>
      <c r="I3" s="50" t="s">
        <v>40</v>
      </c>
      <c r="J3" s="50" t="s">
        <v>41</v>
      </c>
      <c r="K3" s="50" t="s">
        <v>19</v>
      </c>
      <c r="L3" s="50" t="s">
        <v>42</v>
      </c>
      <c r="M3" s="50">
        <v>1</v>
      </c>
      <c r="N3" s="50" t="s">
        <v>43</v>
      </c>
      <c r="O3" s="50" t="str">
        <f>IF($A3="","",IF($R3="","à confirmer",IF($P3&lt;&gt;"","partiel","confirmé")))</f>
        <v>confirmé</v>
      </c>
      <c r="P3" s="65"/>
      <c r="Q3" s="73" t="s">
        <v>45</v>
      </c>
      <c r="R3" s="65" t="s">
        <v>869</v>
      </c>
      <c r="S3" s="65" t="s">
        <v>870</v>
      </c>
    </row>
    <row r="4" customHeight="1" ht="24" customFormat="1" s="67">
      <c r="A4" s="10" t="s">
        <v>48</v>
      </c>
      <c r="B4" s="10" t="s">
        <v>49</v>
      </c>
      <c r="C4" s="10" t="s">
        <v>50</v>
      </c>
      <c r="D4" s="10" t="s">
        <v>21</v>
      </c>
      <c r="E4" s="10" t="s">
        <v>23</v>
      </c>
      <c r="F4" s="74" t="s">
        <v>51</v>
      </c>
      <c r="G4" s="10" t="s">
        <v>52</v>
      </c>
      <c r="H4" s="74"/>
      <c r="I4" s="10" t="s">
        <v>29</v>
      </c>
      <c r="J4" s="10" t="s">
        <v>19</v>
      </c>
      <c r="K4" s="10"/>
      <c r="L4" s="10" t="s">
        <v>53</v>
      </c>
      <c r="M4" s="10">
        <v>0</v>
      </c>
      <c r="N4" s="10" t="s">
        <v>54</v>
      </c>
      <c r="O4" s="10" t="str">
        <f>IF($A4="","",IF($R4="","à confirmer",IF($P4&lt;&gt;"","partiel","confirmé")))</f>
        <v>confirmé</v>
      </c>
      <c r="P4" s="75"/>
      <c r="Q4" s="10" t="s">
        <v>55</v>
      </c>
      <c r="R4" s="75" t="s">
        <v>794</v>
      </c>
      <c r="S4" s="75"/>
    </row>
    <row r="5" customHeight="1" ht="24" customFormat="1" s="67">
      <c r="A5" s="10" t="s">
        <v>57</v>
      </c>
      <c r="B5" s="10" t="s">
        <v>58</v>
      </c>
      <c r="C5" s="10" t="s">
        <v>59</v>
      </c>
      <c r="D5" s="10" t="s">
        <v>21</v>
      </c>
      <c r="E5" s="10" t="s">
        <v>23</v>
      </c>
      <c r="F5" s="74" t="s">
        <v>60</v>
      </c>
      <c r="G5" s="10" t="s">
        <v>61</v>
      </c>
      <c r="H5" s="74"/>
      <c r="I5" s="10" t="s">
        <v>29</v>
      </c>
      <c r="J5" s="10" t="s">
        <v>19</v>
      </c>
      <c r="K5" s="10"/>
      <c r="L5" s="10" t="s">
        <v>62</v>
      </c>
      <c r="M5" s="10">
        <v>0</v>
      </c>
      <c r="N5" s="10" t="s">
        <v>54</v>
      </c>
      <c r="O5" s="10" t="str">
        <f>IF($A5="","",IF($R5="","à confirmer",IF($P5&lt;&gt;"","partiel","confirmé")))</f>
        <v>confirmé</v>
      </c>
      <c r="P5" s="75"/>
      <c r="Q5" s="10" t="s">
        <v>55</v>
      </c>
      <c r="R5" s="75" t="s">
        <v>794</v>
      </c>
      <c r="S5" s="75"/>
    </row>
    <row r="6" customHeight="1" ht="24" customFormat="1" s="67">
      <c r="A6" s="10" t="s">
        <v>63</v>
      </c>
      <c r="B6" s="10" t="s">
        <v>64</v>
      </c>
      <c r="C6" s="10" t="s">
        <v>65</v>
      </c>
      <c r="D6" s="10" t="s">
        <v>21</v>
      </c>
      <c r="E6" s="10" t="s">
        <v>23</v>
      </c>
      <c r="F6" s="74" t="s">
        <v>66</v>
      </c>
      <c r="G6" s="10" t="s">
        <v>61</v>
      </c>
      <c r="H6" s="74"/>
      <c r="I6" s="10" t="s">
        <v>29</v>
      </c>
      <c r="J6" s="10" t="s">
        <v>19</v>
      </c>
      <c r="K6" s="10"/>
      <c r="L6" s="10" t="s">
        <v>67</v>
      </c>
      <c r="M6" s="10">
        <v>0</v>
      </c>
      <c r="N6" s="10" t="s">
        <v>54</v>
      </c>
      <c r="O6" s="10" t="str">
        <f>IF($A6="","",IF($R6="","à confirmer",IF($P6&lt;&gt;"","partiel","confirmé")))</f>
        <v>confirmé</v>
      </c>
      <c r="P6" s="75"/>
      <c r="Q6" s="10" t="s">
        <v>55</v>
      </c>
      <c r="R6" s="75" t="s">
        <v>794</v>
      </c>
      <c r="S6" s="75"/>
    </row>
    <row r="7" customHeight="1" ht="24" customFormat="1" s="67">
      <c r="A7" s="10" t="s">
        <v>68</v>
      </c>
      <c r="B7" s="10" t="s">
        <v>69</v>
      </c>
      <c r="C7" s="10" t="s">
        <v>21</v>
      </c>
      <c r="D7" s="10"/>
      <c r="E7" s="10" t="s">
        <v>36</v>
      </c>
      <c r="F7" s="74" t="s">
        <v>70</v>
      </c>
      <c r="G7" s="10" t="s">
        <v>71</v>
      </c>
      <c r="H7" s="74"/>
      <c r="I7" s="10" t="s">
        <v>29</v>
      </c>
      <c r="J7" s="10" t="s">
        <v>19</v>
      </c>
      <c r="K7" s="10"/>
      <c r="L7" s="10" t="s">
        <v>72</v>
      </c>
      <c r="M7" s="10">
        <v>0</v>
      </c>
      <c r="N7" s="10" t="s">
        <v>54</v>
      </c>
      <c r="O7" s="10" t="str">
        <f>IF($A7="","",IF($R7="","à confirmer",IF($P7&lt;&gt;"","partiel","confirmé")))</f>
        <v>confirmé</v>
      </c>
      <c r="P7" s="75"/>
      <c r="Q7" s="10" t="s">
        <v>73</v>
      </c>
      <c r="R7" s="75" t="s">
        <v>794</v>
      </c>
      <c r="S7" s="75"/>
    </row>
    <row r="8" customHeight="1" ht="24" customFormat="1" s="68">
      <c r="A8" s="10" t="s">
        <v>74</v>
      </c>
      <c r="B8" s="10" t="s">
        <v>75</v>
      </c>
      <c r="C8" s="10" t="s">
        <v>21</v>
      </c>
      <c r="D8" s="10"/>
      <c r="E8" s="10" t="s">
        <v>36</v>
      </c>
      <c r="F8" s="74" t="s">
        <v>76</v>
      </c>
      <c r="G8" s="10" t="s">
        <v>71</v>
      </c>
      <c r="H8" s="74"/>
      <c r="I8" s="10" t="s">
        <v>29</v>
      </c>
      <c r="J8" s="10" t="s">
        <v>19</v>
      </c>
      <c r="K8" s="10"/>
      <c r="L8" s="10" t="s">
        <v>77</v>
      </c>
      <c r="M8" s="10">
        <v>0</v>
      </c>
      <c r="N8" s="10" t="s">
        <v>54</v>
      </c>
      <c r="O8" s="10" t="str">
        <f>IF($A8="","",IF($R8="","à confirmer",IF($P8&lt;&gt;"","partiel","confirmé")))</f>
        <v>confirmé</v>
      </c>
      <c r="P8" s="75"/>
      <c r="Q8" s="10" t="s">
        <v>73</v>
      </c>
      <c r="R8" s="75" t="s">
        <v>794</v>
      </c>
      <c r="S8" s="75"/>
    </row>
    <row r="9" customHeight="1" ht="24" customFormat="1" s="68">
      <c r="A9" s="10" t="s">
        <v>78</v>
      </c>
      <c r="B9" s="10" t="s">
        <v>79</v>
      </c>
      <c r="C9" s="10" t="s">
        <v>80</v>
      </c>
      <c r="D9" s="10" t="s">
        <v>21</v>
      </c>
      <c r="E9" s="10" t="s">
        <v>23</v>
      </c>
      <c r="F9" s="74" t="s">
        <v>81</v>
      </c>
      <c r="G9" s="10" t="s">
        <v>71</v>
      </c>
      <c r="H9" s="74"/>
      <c r="I9" s="10" t="s">
        <v>29</v>
      </c>
      <c r="J9" s="10" t="s">
        <v>19</v>
      </c>
      <c r="K9" s="10"/>
      <c r="L9" s="10" t="s">
        <v>82</v>
      </c>
      <c r="M9" s="10">
        <v>0</v>
      </c>
      <c r="N9" s="10" t="s">
        <v>54</v>
      </c>
      <c r="O9" s="10" t="str">
        <f>IF($A9="","",IF($R9="","à confirmer",IF($P9&lt;&gt;"","partiel","confirmé")))</f>
        <v>confirmé</v>
      </c>
      <c r="P9" s="75"/>
      <c r="Q9" s="10" t="s">
        <v>55</v>
      </c>
      <c r="R9" s="75" t="s">
        <v>794</v>
      </c>
      <c r="S9" s="75"/>
    </row>
    <row r="10" customHeight="1" ht="24" customFormat="1" s="66">
      <c r="A10" s="10" t="s">
        <v>83</v>
      </c>
      <c r="B10" s="10" t="s">
        <v>84</v>
      </c>
      <c r="C10" s="10" t="s">
        <v>21</v>
      </c>
      <c r="D10" s="10"/>
      <c r="E10" s="10" t="s">
        <v>36</v>
      </c>
      <c r="F10" s="74" t="s">
        <v>85</v>
      </c>
      <c r="G10" s="10" t="s">
        <v>71</v>
      </c>
      <c r="H10" s="74"/>
      <c r="I10" s="10" t="s">
        <v>29</v>
      </c>
      <c r="J10" s="10" t="s">
        <v>19</v>
      </c>
      <c r="K10" s="10"/>
      <c r="L10" s="10" t="s">
        <v>86</v>
      </c>
      <c r="M10" s="10">
        <v>0</v>
      </c>
      <c r="N10" s="10" t="s">
        <v>54</v>
      </c>
      <c r="O10" s="10" t="str">
        <f>IF($A10="","",IF($R10="","à confirmer",IF($P10&lt;&gt;"","partiel","confirmé")))</f>
        <v>confirmé</v>
      </c>
      <c r="P10" s="75"/>
      <c r="Q10" s="10" t="s">
        <v>73</v>
      </c>
      <c r="R10" s="75" t="s">
        <v>794</v>
      </c>
      <c r="S10" s="75"/>
    </row>
    <row r="11" customHeight="1" ht="24" customFormat="1" s="66">
      <c r="A11" s="10" t="s">
        <v>87</v>
      </c>
      <c r="B11" s="10" t="s">
        <v>88</v>
      </c>
      <c r="C11" s="10" t="s">
        <v>21</v>
      </c>
      <c r="D11" s="10"/>
      <c r="E11" s="10" t="s">
        <v>36</v>
      </c>
      <c r="F11" s="74" t="s">
        <v>89</v>
      </c>
      <c r="G11" s="10" t="s">
        <v>71</v>
      </c>
      <c r="H11" s="74"/>
      <c r="I11" s="10" t="s">
        <v>29</v>
      </c>
      <c r="J11" s="10" t="s">
        <v>19</v>
      </c>
      <c r="K11" s="10"/>
      <c r="L11" s="10" t="s">
        <v>90</v>
      </c>
      <c r="M11" s="10">
        <v>0</v>
      </c>
      <c r="N11" s="10" t="s">
        <v>54</v>
      </c>
      <c r="O11" s="10" t="str">
        <f>IF($A11="","",IF($R11="","à confirmer",IF($P11&lt;&gt;"","partiel","confirmé")))</f>
        <v>confirmé</v>
      </c>
      <c r="P11" s="75"/>
      <c r="Q11" s="10" t="s">
        <v>73</v>
      </c>
      <c r="R11" s="75" t="s">
        <v>794</v>
      </c>
      <c r="S11" s="75"/>
    </row>
    <row r="12" ht="36.75" customFormat="1" s="64">
      <c r="A12" s="50" t="s">
        <v>40</v>
      </c>
      <c r="B12" s="50" t="s">
        <v>104</v>
      </c>
      <c r="C12" s="50" t="s">
        <v>21</v>
      </c>
      <c r="D12" s="50"/>
      <c r="E12" s="50" t="s">
        <v>36</v>
      </c>
      <c r="F12" s="62" t="s">
        <v>105</v>
      </c>
      <c r="G12" s="50" t="s">
        <v>52</v>
      </c>
      <c r="H12" s="62" t="s">
        <v>802</v>
      </c>
      <c r="I12" s="50" t="s">
        <v>91</v>
      </c>
      <c r="J12" s="50" t="s">
        <v>94</v>
      </c>
      <c r="K12" s="50" t="s">
        <v>41</v>
      </c>
      <c r="L12" s="50"/>
      <c r="M12" s="50">
        <v>2</v>
      </c>
      <c r="N12" s="50" t="s">
        <v>43</v>
      </c>
      <c r="O12" s="50" t="str">
        <f>IF($A12="","",IF($R12="","à confirmer",IF($P12&lt;&gt;"","partiel","confirmé")))</f>
        <v>confirmé</v>
      </c>
      <c r="P12" s="65"/>
      <c r="Q12" s="50" t="s">
        <v>73</v>
      </c>
      <c r="R12" s="65" t="s">
        <v>884</v>
      </c>
      <c r="S12" s="65" t="s">
        <v>877</v>
      </c>
    </row>
    <row r="13" ht="60" customFormat="1" s="0">
      <c r="A13" s="50" t="s">
        <v>41</v>
      </c>
      <c r="B13" s="50" t="s">
        <v>246</v>
      </c>
      <c r="C13" s="50" t="s">
        <v>21</v>
      </c>
      <c r="D13" s="50" t="s">
        <v>169</v>
      </c>
      <c r="E13" s="50" t="s">
        <v>23</v>
      </c>
      <c r="F13" s="62" t="s">
        <v>247</v>
      </c>
      <c r="G13" s="50" t="s">
        <v>248</v>
      </c>
      <c r="H13" s="62" t="s">
        <v>106</v>
      </c>
      <c r="I13" s="50" t="s">
        <v>215</v>
      </c>
      <c r="J13" s="50" t="s">
        <v>219</v>
      </c>
      <c r="K13" s="50" t="s">
        <v>40</v>
      </c>
      <c r="L13" s="50" t="s">
        <v>903</v>
      </c>
      <c r="M13" s="50">
        <v>2</v>
      </c>
      <c r="N13" s="50" t="s">
        <v>43</v>
      </c>
      <c r="O13" s="50" t="str">
        <f>IF($A13="","",IF($R13="","à confirmer",IF($P13&lt;&gt;"","partiel","confirmé")))</f>
        <v>confirmé</v>
      </c>
      <c r="P13" s="65"/>
      <c r="Q13" s="50" t="s">
        <v>55</v>
      </c>
      <c r="R13" s="65" t="s">
        <v>882</v>
      </c>
      <c r="S13" s="65" t="s">
        <v>885</v>
      </c>
    </row>
    <row r="14" customHeight="1" ht="55.5" customFormat="1" s="0">
      <c r="A14" s="34" t="s">
        <v>253</v>
      </c>
      <c r="B14" s="34" t="s">
        <v>254</v>
      </c>
      <c r="C14" s="34"/>
      <c r="D14" s="34" t="s">
        <v>169</v>
      </c>
      <c r="E14" s="34" t="s">
        <v>23</v>
      </c>
      <c r="F14" s="79" t="s">
        <v>255</v>
      </c>
      <c r="G14" s="34" t="s">
        <v>227</v>
      </c>
      <c r="H14" s="79" t="s">
        <v>256</v>
      </c>
      <c r="I14" s="34" t="s">
        <v>215</v>
      </c>
      <c r="J14" s="34" t="s">
        <v>219</v>
      </c>
      <c r="K14" s="34"/>
      <c r="L14" s="34" t="s">
        <v>902</v>
      </c>
      <c r="M14" s="34">
        <v>2</v>
      </c>
      <c r="N14" s="34" t="s">
        <v>43</v>
      </c>
      <c r="O14" s="34" t="str">
        <f>IF($A14="","",IF($R14="","à confirmer",IF($P14&lt;&gt;"","partiel","confirmé")))</f>
        <v>confirmé</v>
      </c>
      <c r="P14" s="80"/>
      <c r="Q14" s="34" t="s">
        <v>55</v>
      </c>
      <c r="R14" s="80" t="s">
        <v>868</v>
      </c>
      <c r="S14" s="80" t="s">
        <v>857</v>
      </c>
    </row>
    <row r="15" customHeight="1" ht="42.75" customFormat="1" s="0">
      <c r="A15" s="34" t="s">
        <v>261</v>
      </c>
      <c r="B15" s="34" t="s">
        <v>846</v>
      </c>
      <c r="C15" s="34" t="s">
        <v>852</v>
      </c>
      <c r="D15" s="34" t="s">
        <v>169</v>
      </c>
      <c r="E15" s="34" t="s">
        <v>23</v>
      </c>
      <c r="F15" s="79" t="s">
        <v>847</v>
      </c>
      <c r="G15" s="34" t="s">
        <v>227</v>
      </c>
      <c r="H15" s="79" t="s">
        <v>853</v>
      </c>
      <c r="I15" s="34" t="s">
        <v>215</v>
      </c>
      <c r="J15" s="34" t="s">
        <v>219</v>
      </c>
      <c r="K15" s="34"/>
      <c r="L15" s="34" t="s">
        <v>901</v>
      </c>
      <c r="M15" s="34">
        <v>2</v>
      </c>
      <c r="N15" s="34" t="s">
        <v>43</v>
      </c>
      <c r="O15" s="34" t="str">
        <f>IF($A15="","",IF($R15="","à confirmer",IF($P15&lt;&gt;"","partiel","confirmé")))</f>
        <v>confirmé</v>
      </c>
      <c r="P15" s="80"/>
      <c r="Q15" s="34" t="s">
        <v>55</v>
      </c>
      <c r="R15" s="80" t="s">
        <v>851</v>
      </c>
      <c r="S15" s="80" t="s">
        <v>854</v>
      </c>
    </row>
    <row r="16" customHeight="1" ht="42.75" customFormat="1" s="87">
      <c r="A16" s="88" t="s">
        <v>267</v>
      </c>
      <c r="B16" s="88" t="s">
        <v>859</v>
      </c>
      <c r="C16" s="88"/>
      <c r="D16" s="88" t="s">
        <v>169</v>
      </c>
      <c r="E16" s="88" t="s">
        <v>23</v>
      </c>
      <c r="F16" s="89" t="s">
        <v>858</v>
      </c>
      <c r="G16" s="88" t="s">
        <v>270</v>
      </c>
      <c r="H16" s="89"/>
      <c r="I16" s="88" t="s">
        <v>215</v>
      </c>
      <c r="J16" s="88" t="s">
        <v>219</v>
      </c>
      <c r="K16" s="88"/>
      <c r="L16" s="88" t="s">
        <v>900</v>
      </c>
      <c r="M16" s="88" t="s">
        <v>272</v>
      </c>
      <c r="N16" s="88" t="s">
        <v>43</v>
      </c>
      <c r="O16" s="88" t="str">
        <f>IF($A16="","",IF($R16="","à confirmer",IF($P16&lt;&gt;"","partiel","confirmé")))</f>
        <v>partiel</v>
      </c>
      <c r="P16" s="90" t="s">
        <v>924</v>
      </c>
      <c r="Q16" s="34" t="s">
        <v>55</v>
      </c>
      <c r="R16" s="90" t="s">
        <v>862</v>
      </c>
      <c r="S16" s="91" t="s">
        <v>864</v>
      </c>
    </row>
    <row r="17" ht="36.75" customFormat="1" s="99">
      <c r="A17" s="100" t="s">
        <v>899</v>
      </c>
      <c r="B17" s="100" t="s">
        <v>890</v>
      </c>
      <c r="C17" s="100" t="s">
        <v>169</v>
      </c>
      <c r="D17" s="100"/>
      <c r="E17" s="100" t="s">
        <v>36</v>
      </c>
      <c r="F17" s="101" t="s">
        <v>893</v>
      </c>
      <c r="G17" s="100" t="s">
        <v>227</v>
      </c>
      <c r="H17" s="101"/>
      <c r="I17" s="100" t="s">
        <v>215</v>
      </c>
      <c r="J17" s="100" t="s">
        <v>219</v>
      </c>
      <c r="K17" s="100" t="s">
        <v>905</v>
      </c>
      <c r="L17" s="100" t="s">
        <v>894</v>
      </c>
      <c r="M17" s="100">
        <v>2</v>
      </c>
      <c r="N17" s="100" t="s">
        <v>43</v>
      </c>
      <c r="O17" s="88" t="str">
        <f>IF($A17="","",IF($R17="","à confirmer",IF($P17&lt;&gt;"","partiel","confirmé")))</f>
        <v>partiel</v>
      </c>
      <c r="P17" s="102" t="s">
        <v>916</v>
      </c>
      <c r="Q17" s="34" t="s">
        <v>73</v>
      </c>
      <c r="R17" s="102" t="s">
        <v>904</v>
      </c>
      <c r="S17" s="102"/>
    </row>
    <row r="18" customHeight="1" ht="72.75" customFormat="1" s="39">
      <c r="A18" s="36" t="s">
        <v>215</v>
      </c>
      <c r="B18" s="36" t="s">
        <v>889</v>
      </c>
      <c r="C18" s="36" t="s">
        <v>169</v>
      </c>
      <c r="D18" s="36"/>
      <c r="E18" s="36" t="s">
        <v>36</v>
      </c>
      <c r="F18" s="37" t="s">
        <v>837</v>
      </c>
      <c r="G18" s="36" t="s">
        <v>270</v>
      </c>
      <c r="H18" s="37" t="s">
        <v>845</v>
      </c>
      <c r="I18" s="36" t="s">
        <v>177</v>
      </c>
      <c r="J18" s="36" t="s">
        <v>180</v>
      </c>
      <c r="K18" s="36" t="s">
        <v>219</v>
      </c>
      <c r="L18" s="36" t="s">
        <v>220</v>
      </c>
      <c r="M18" s="36">
        <v>3</v>
      </c>
      <c r="N18" s="36" t="s">
        <v>43</v>
      </c>
      <c r="O18" s="36" t="str">
        <f>IF($A18="","",IF($R18="","à confirmer",IF($P18&lt;&gt;"","partiel","confirmé")))</f>
        <v>confirmé</v>
      </c>
      <c r="P18" s="38"/>
      <c r="Q18" s="36" t="s">
        <v>73</v>
      </c>
      <c r="R18" s="38" t="s">
        <v>933</v>
      </c>
      <c r="S18" s="38" t="s">
        <v>934</v>
      </c>
    </row>
    <row r="19" ht="36.75" customFormat="1" s="39">
      <c r="A19" s="36" t="s">
        <v>219</v>
      </c>
      <c r="B19" s="36" t="s">
        <v>224</v>
      </c>
      <c r="C19" s="36" t="s">
        <v>169</v>
      </c>
      <c r="D19" s="36" t="s">
        <v>225</v>
      </c>
      <c r="E19" s="36" t="s">
        <v>23</v>
      </c>
      <c r="F19" s="37" t="s">
        <v>827</v>
      </c>
      <c r="G19" s="36" t="s">
        <v>227</v>
      </c>
      <c r="H19" s="37" t="s">
        <v>228</v>
      </c>
      <c r="I19" s="36" t="s">
        <v>229</v>
      </c>
      <c r="J19" s="36" t="s">
        <v>230</v>
      </c>
      <c r="K19" s="36" t="s">
        <v>215</v>
      </c>
      <c r="L19" s="36" t="s">
        <v>231</v>
      </c>
      <c r="M19" s="36">
        <v>3</v>
      </c>
      <c r="N19" s="36" t="s">
        <v>43</v>
      </c>
      <c r="O19" s="36" t="str">
        <f>IF($A19="","",IF($R19="","à confirmer",IF($P19&lt;&gt;"","partiel","confirmé")))</f>
        <v>partiel</v>
      </c>
      <c r="P19" s="38" t="s">
        <v>925</v>
      </c>
      <c r="Q19" s="36" t="s">
        <v>55</v>
      </c>
      <c r="R19" s="38" t="s">
        <v>941</v>
      </c>
      <c r="S19" s="38"/>
    </row>
    <row r="20" ht="48" customFormat="1" s="29">
      <c r="A20" s="28" t="s">
        <v>177</v>
      </c>
      <c r="B20" s="28" t="s">
        <v>952</v>
      </c>
      <c r="C20" s="28" t="s">
        <v>169</v>
      </c>
      <c r="D20" s="28"/>
      <c r="E20" s="28" t="s">
        <v>36</v>
      </c>
      <c r="F20" s="76" t="s">
        <v>960</v>
      </c>
      <c r="G20" s="28" t="s">
        <v>270</v>
      </c>
      <c r="H20" s="76" t="s">
        <v>949</v>
      </c>
      <c r="I20" s="28" t="s">
        <v>167</v>
      </c>
      <c r="J20" s="28" t="s">
        <v>171</v>
      </c>
      <c r="K20" s="28" t="s">
        <v>180</v>
      </c>
      <c r="L20" s="28"/>
      <c r="M20" s="28">
        <v>4</v>
      </c>
      <c r="N20" s="28" t="s">
        <v>43</v>
      </c>
      <c r="O20" s="28" t="str">
        <f>IF($A20="","",IF($R20="","à confirmer",IF($P20&lt;&gt;"","partiel","confirmé")))</f>
        <v>partiel</v>
      </c>
      <c r="P20" s="77" t="s">
        <v>954</v>
      </c>
      <c r="Q20" s="28" t="s">
        <v>73</v>
      </c>
      <c r="R20" s="77" t="s">
        <v>956</v>
      </c>
      <c r="S20" s="77" t="s">
        <v>950</v>
      </c>
    </row>
    <row r="21" customHeight="1" ht="69" customFormat="1" s="11">
      <c r="A21" s="28" t="s">
        <v>180</v>
      </c>
      <c r="B21" s="28" t="s">
        <v>183</v>
      </c>
      <c r="C21" s="28" t="s">
        <v>169</v>
      </c>
      <c r="D21" s="28" t="s">
        <v>157</v>
      </c>
      <c r="E21" s="28" t="s">
        <v>23</v>
      </c>
      <c r="F21" s="76" t="s">
        <v>184</v>
      </c>
      <c r="G21" s="28" t="s">
        <v>158</v>
      </c>
      <c r="H21" s="76" t="s">
        <v>185</v>
      </c>
      <c r="I21" s="28" t="s">
        <v>155</v>
      </c>
      <c r="J21" s="28" t="s">
        <v>160</v>
      </c>
      <c r="K21" s="28" t="s">
        <v>177</v>
      </c>
      <c r="L21" s="28"/>
      <c r="M21" s="28">
        <v>4</v>
      </c>
      <c r="N21" s="28" t="s">
        <v>43</v>
      </c>
      <c r="O21" s="28" t="str">
        <f>IF($A21="","",IF($R21="","à confirmer",IF($P21&lt;&gt;"","partiel","confirmé")))</f>
        <v>partiel</v>
      </c>
      <c r="P21" s="77" t="s">
        <v>186</v>
      </c>
      <c r="Q21" s="28" t="s">
        <v>55</v>
      </c>
      <c r="R21" s="77" t="s">
        <v>187</v>
      </c>
      <c r="S21" s="77"/>
    </row>
    <row r="22" customHeight="1" ht="30" customFormat="1" s="29">
      <c r="A22" s="17" t="s">
        <v>167</v>
      </c>
      <c r="B22" s="17" t="s">
        <v>168</v>
      </c>
      <c r="C22" s="17" t="s">
        <v>169</v>
      </c>
      <c r="D22" s="17"/>
      <c r="E22" s="17" t="s">
        <v>36</v>
      </c>
      <c r="F22" s="19" t="s">
        <v>170</v>
      </c>
      <c r="G22" s="17"/>
      <c r="H22" s="19"/>
      <c r="I22" s="17"/>
      <c r="J22" s="17"/>
      <c r="K22" s="17" t="s">
        <v>171</v>
      </c>
      <c r="L22" s="17"/>
      <c r="M22" s="17" t="s">
        <v>161</v>
      </c>
      <c r="N22" s="17" t="s">
        <v>43</v>
      </c>
      <c r="O22" s="17" t="str">
        <f>IF($A22="","",IF($R22="","à confirmer",IF($P22&lt;&gt;"","partiel","confirmé")))</f>
        <v>partiel</v>
      </c>
      <c r="P22" s="40" t="s">
        <v>172</v>
      </c>
      <c r="Q22" s="17"/>
      <c r="R22" s="40" t="s">
        <v>173</v>
      </c>
      <c r="S22" s="40"/>
    </row>
    <row r="23" customHeight="1" ht="24" customFormat="1" s="29">
      <c r="A23" s="17" t="s">
        <v>171</v>
      </c>
      <c r="B23" s="17" t="s">
        <v>236</v>
      </c>
      <c r="C23" s="17" t="s">
        <v>906</v>
      </c>
      <c r="D23" s="17"/>
      <c r="E23" s="17" t="s">
        <v>23</v>
      </c>
      <c r="F23" s="19"/>
      <c r="G23" s="17"/>
      <c r="H23" s="19"/>
      <c r="I23" s="17"/>
      <c r="J23" s="17"/>
      <c r="K23" s="17" t="s">
        <v>167</v>
      </c>
      <c r="L23" s="17"/>
      <c r="M23" s="17" t="s">
        <v>161</v>
      </c>
      <c r="N23" s="17" t="s">
        <v>43</v>
      </c>
      <c r="O23" s="17" t="str">
        <f>IF($A23="","",IF($R23="","à confirmer",IF($P23&lt;&gt;"","partiel","confirmé")))</f>
        <v>partiel</v>
      </c>
      <c r="P23" s="40" t="s">
        <v>175</v>
      </c>
      <c r="Q23" s="17"/>
      <c r="R23" s="40" t="s">
        <v>176</v>
      </c>
      <c r="S23" s="40"/>
    </row>
    <row r="24" customHeight="1" ht="30" customFormat="1" s="29">
      <c r="A24" s="17" t="s">
        <v>155</v>
      </c>
      <c r="B24" s="17" t="s">
        <v>156</v>
      </c>
      <c r="C24" s="17" t="s">
        <v>157</v>
      </c>
      <c r="D24" s="17"/>
      <c r="E24" s="17" t="s">
        <v>36</v>
      </c>
      <c r="F24" s="19"/>
      <c r="G24" s="17" t="s">
        <v>158</v>
      </c>
      <c r="H24" s="19" t="s">
        <v>159</v>
      </c>
      <c r="I24" s="17"/>
      <c r="J24" s="17"/>
      <c r="K24" s="17" t="s">
        <v>160</v>
      </c>
      <c r="L24" s="17"/>
      <c r="M24" s="17" t="s">
        <v>161</v>
      </c>
      <c r="N24" s="17" t="s">
        <v>43</v>
      </c>
      <c r="O24" s="17" t="str">
        <f>IF($A24="","",IF($R24="","à confirmer",IF($P24&lt;&gt;"","partiel","confirmé")))</f>
        <v>partiel</v>
      </c>
      <c r="P24" s="40" t="s">
        <v>162</v>
      </c>
      <c r="Q24" s="17"/>
      <c r="R24" s="40" t="s">
        <v>163</v>
      </c>
      <c r="S24" s="40"/>
    </row>
    <row r="25" customHeight="1" ht="24" customFormat="1" s="29">
      <c r="A25" s="17" t="s">
        <v>160</v>
      </c>
      <c r="B25" s="17" t="s">
        <v>164</v>
      </c>
      <c r="C25" s="17"/>
      <c r="D25" s="17"/>
      <c r="E25" s="17" t="s">
        <v>23</v>
      </c>
      <c r="F25" s="19"/>
      <c r="G25" s="17"/>
      <c r="H25" s="19"/>
      <c r="I25" s="17"/>
      <c r="J25" s="17"/>
      <c r="K25" s="17" t="s">
        <v>155</v>
      </c>
      <c r="L25" s="17"/>
      <c r="M25" s="17" t="s">
        <v>161</v>
      </c>
      <c r="N25" s="17" t="s">
        <v>43</v>
      </c>
      <c r="O25" s="17" t="str">
        <f>IF($A25="","",IF($R25="","à confirmer",IF($P25&lt;&gt;"","partiel","confirmé")))</f>
        <v>partiel</v>
      </c>
      <c r="P25" s="40" t="s">
        <v>165</v>
      </c>
      <c r="Q25" s="17"/>
      <c r="R25" s="40" t="s">
        <v>166</v>
      </c>
      <c r="S25" s="40"/>
    </row>
    <row r="26" customHeight="1" ht="30" customFormat="1" s="29">
      <c r="A26" s="17" t="s">
        <v>167</v>
      </c>
      <c r="B26" s="17" t="s">
        <v>168</v>
      </c>
      <c r="C26" s="17" t="s">
        <v>169</v>
      </c>
      <c r="D26" s="17"/>
      <c r="E26" s="17" t="s">
        <v>36</v>
      </c>
      <c r="F26" s="19" t="s">
        <v>170</v>
      </c>
      <c r="G26" s="17"/>
      <c r="H26" s="19"/>
      <c r="I26" s="17"/>
      <c r="J26" s="17"/>
      <c r="K26" s="17" t="s">
        <v>171</v>
      </c>
      <c r="L26" s="17"/>
      <c r="M26" s="17" t="s">
        <v>161</v>
      </c>
      <c r="N26" s="17" t="s">
        <v>43</v>
      </c>
      <c r="O26" s="17" t="str">
        <f>IF($A26="","",IF($R26="","à confirmer",IF($P26&lt;&gt;"","partiel","confirmé")))</f>
        <v>partiel</v>
      </c>
      <c r="P26" s="40" t="s">
        <v>172</v>
      </c>
      <c r="Q26" s="17"/>
      <c r="R26" s="40" t="s">
        <v>173</v>
      </c>
      <c r="S26" s="40"/>
    </row>
    <row r="27" customHeight="1" ht="42.75" customFormat="1" s="66">
      <c r="A27" s="17" t="s">
        <v>91</v>
      </c>
      <c r="B27" s="17" t="s">
        <v>804</v>
      </c>
      <c r="C27" s="17" t="s">
        <v>21</v>
      </c>
      <c r="D27" s="17"/>
      <c r="E27" s="17" t="s">
        <v>36</v>
      </c>
      <c r="F27" s="19"/>
      <c r="G27" s="17"/>
      <c r="H27" s="19" t="s">
        <v>93</v>
      </c>
      <c r="I27" s="17"/>
      <c r="J27" s="17"/>
      <c r="K27" s="17" t="s">
        <v>94</v>
      </c>
      <c r="L27" s="17"/>
      <c r="M27" s="17">
        <v>3</v>
      </c>
      <c r="N27" s="17" t="s">
        <v>43</v>
      </c>
      <c r="O27" s="17" t="str">
        <f>IF($A27="","",IF($R27="","à confirmer",IF($P27&lt;&gt;"","partiel","confirmé")))</f>
        <v>partiel</v>
      </c>
      <c r="P27" s="40" t="s">
        <v>805</v>
      </c>
      <c r="Q27" s="17"/>
      <c r="R27" s="40" t="s">
        <v>96</v>
      </c>
      <c r="S27" s="40"/>
    </row>
    <row r="28" customHeight="1" ht="30" customFormat="1" s="69">
      <c r="A28" s="17" t="s">
        <v>94</v>
      </c>
      <c r="B28" s="17" t="s">
        <v>98</v>
      </c>
      <c r="C28" s="17" t="s">
        <v>21</v>
      </c>
      <c r="D28" s="17" t="s">
        <v>99</v>
      </c>
      <c r="E28" s="17" t="s">
        <v>23</v>
      </c>
      <c r="F28" s="19"/>
      <c r="G28" s="17"/>
      <c r="H28" s="19" t="s">
        <v>100</v>
      </c>
      <c r="I28" s="17"/>
      <c r="J28" s="17"/>
      <c r="K28" s="17" t="s">
        <v>91</v>
      </c>
      <c r="L28" s="17"/>
      <c r="M28" s="17">
        <v>3</v>
      </c>
      <c r="N28" s="17" t="s">
        <v>43</v>
      </c>
      <c r="O28" s="17" t="str">
        <f>IF($A28="","",IF($R28="","à confirmer",IF($P28&lt;&gt;"","partiel","confirmé")))</f>
        <v>partiel</v>
      </c>
      <c r="P28" s="40" t="s">
        <v>806</v>
      </c>
      <c r="Q28" s="17"/>
      <c r="R28" s="40" t="s">
        <v>102</v>
      </c>
      <c r="S28" s="40" t="s">
        <v>103</v>
      </c>
    </row>
    <row r="29" customHeight="1" ht="30" customFormat="1" s="1">
      <c r="A29" s="50" t="s">
        <v>109</v>
      </c>
      <c r="B29" s="50" t="s">
        <v>110</v>
      </c>
      <c r="C29" s="50" t="s">
        <v>21</v>
      </c>
      <c r="D29" s="50"/>
      <c r="E29" s="50" t="s">
        <v>36</v>
      </c>
      <c r="F29" s="62" t="s">
        <v>111</v>
      </c>
      <c r="G29" s="50" t="s">
        <v>52</v>
      </c>
      <c r="H29" s="62"/>
      <c r="I29" s="50" t="s">
        <v>40</v>
      </c>
      <c r="J29" s="50" t="s">
        <v>41</v>
      </c>
      <c r="K29" s="50"/>
      <c r="L29" s="50" t="s">
        <v>112</v>
      </c>
      <c r="M29" s="50">
        <v>1</v>
      </c>
      <c r="N29" s="50" t="s">
        <v>43</v>
      </c>
      <c r="O29" s="50" t="str">
        <f>IF($A29="","",IF($R29="","à confirmer",IF($P29&lt;&gt;"","partiel","confirmé")))</f>
        <v>confirmé</v>
      </c>
      <c r="P29" s="65"/>
      <c r="Q29" s="2" t="s">
        <v>114</v>
      </c>
      <c r="R29" s="65" t="s">
        <v>115</v>
      </c>
      <c r="S29" s="65"/>
    </row>
    <row r="30" customHeight="1" ht="30" customFormat="1" s="1">
      <c r="A30" s="50" t="s">
        <v>116</v>
      </c>
      <c r="B30" s="50" t="s">
        <v>117</v>
      </c>
      <c r="C30" s="50" t="s">
        <v>118</v>
      </c>
      <c r="D30" s="50" t="s">
        <v>21</v>
      </c>
      <c r="E30" s="50" t="s">
        <v>23</v>
      </c>
      <c r="F30" s="62" t="s">
        <v>119</v>
      </c>
      <c r="G30" s="50"/>
      <c r="H30" s="62" t="s">
        <v>120</v>
      </c>
      <c r="I30" s="50" t="s">
        <v>40</v>
      </c>
      <c r="J30" s="50" t="s">
        <v>41</v>
      </c>
      <c r="K30" s="50" t="s">
        <v>121</v>
      </c>
      <c r="L30" s="50" t="s">
        <v>122</v>
      </c>
      <c r="M30" s="50">
        <v>1</v>
      </c>
      <c r="N30" s="50" t="s">
        <v>43</v>
      </c>
      <c r="O30" s="50" t="str">
        <f>IF($A30="","",IF($R30="","à confirmer",IF($P30&lt;&gt;"","partiel","confirmé")))</f>
        <v>partiel</v>
      </c>
      <c r="P30" s="65" t="s">
        <v>123</v>
      </c>
      <c r="Q30" s="50" t="s">
        <v>55</v>
      </c>
      <c r="R30" s="65" t="s">
        <v>124</v>
      </c>
      <c r="S30" s="65" t="s">
        <v>125</v>
      </c>
    </row>
    <row r="31" customHeight="1" ht="30" customFormat="1" s="1">
      <c r="A31" s="50" t="s">
        <v>126</v>
      </c>
      <c r="B31" s="50" t="s">
        <v>127</v>
      </c>
      <c r="C31" s="50" t="s">
        <v>21</v>
      </c>
      <c r="D31" s="50"/>
      <c r="E31" s="50" t="s">
        <v>36</v>
      </c>
      <c r="F31" s="62" t="s">
        <v>128</v>
      </c>
      <c r="G31" s="50" t="s">
        <v>52</v>
      </c>
      <c r="H31" s="62"/>
      <c r="I31" s="50" t="s">
        <v>40</v>
      </c>
      <c r="J31" s="50" t="s">
        <v>41</v>
      </c>
      <c r="K31" s="50" t="s">
        <v>129</v>
      </c>
      <c r="L31" s="50" t="s">
        <v>130</v>
      </c>
      <c r="M31" s="50">
        <v>1</v>
      </c>
      <c r="N31" s="50" t="s">
        <v>43</v>
      </c>
      <c r="O31" s="50" t="str">
        <f>IF($A31="","",IF($R31="","à confirmer",IF($P31&lt;&gt;"","partiel","confirmé")))</f>
        <v>partiel</v>
      </c>
      <c r="P31" s="65" t="s">
        <v>131</v>
      </c>
      <c r="Q31" s="50" t="s">
        <v>73</v>
      </c>
      <c r="R31" s="65" t="s">
        <v>132</v>
      </c>
      <c r="S31" s="65"/>
    </row>
    <row r="32" customHeight="1" ht="42.75" customFormat="1" s="1">
      <c r="A32" s="50" t="s">
        <v>133</v>
      </c>
      <c r="B32" s="50" t="s">
        <v>134</v>
      </c>
      <c r="C32" s="50" t="s">
        <v>21</v>
      </c>
      <c r="D32" s="50"/>
      <c r="E32" s="50" t="s">
        <v>36</v>
      </c>
      <c r="F32" s="62" t="s">
        <v>135</v>
      </c>
      <c r="G32" s="50" t="s">
        <v>52</v>
      </c>
      <c r="H32" s="62" t="s">
        <v>136</v>
      </c>
      <c r="I32" s="50" t="s">
        <v>40</v>
      </c>
      <c r="J32" s="50" t="s">
        <v>41</v>
      </c>
      <c r="K32" s="50"/>
      <c r="L32" s="50" t="s">
        <v>137</v>
      </c>
      <c r="M32" s="50">
        <v>1</v>
      </c>
      <c r="N32" s="50" t="s">
        <v>43</v>
      </c>
      <c r="O32" s="50" t="str">
        <f>IF($A32="","",IF($R32="","à confirmer",IF($P32&lt;&gt;"","partiel","confirmé")))</f>
        <v>partiel</v>
      </c>
      <c r="P32" s="65" t="s">
        <v>138</v>
      </c>
      <c r="Q32" s="50" t="s">
        <v>73</v>
      </c>
      <c r="R32" s="65" t="s">
        <v>139</v>
      </c>
      <c r="S32" s="65"/>
    </row>
    <row r="33" customHeight="1" ht="30" customFormat="1" s="1">
      <c r="A33" s="50" t="s">
        <v>121</v>
      </c>
      <c r="B33" s="50" t="s">
        <v>140</v>
      </c>
      <c r="C33" s="50" t="s">
        <v>118</v>
      </c>
      <c r="D33" s="50"/>
      <c r="E33" s="50" t="s">
        <v>36</v>
      </c>
      <c r="F33" s="62" t="s">
        <v>141</v>
      </c>
      <c r="G33" s="50"/>
      <c r="H33" s="62" t="s">
        <v>142</v>
      </c>
      <c r="I33" s="50"/>
      <c r="J33" s="50"/>
      <c r="K33" s="50" t="s">
        <v>116</v>
      </c>
      <c r="L33" s="50"/>
      <c r="M33" s="50">
        <v>1</v>
      </c>
      <c r="N33" s="50" t="s">
        <v>43</v>
      </c>
      <c r="O33" s="50" t="str">
        <f>IF($A33="","",IF($R33="","à confirmer",IF($P33&lt;&gt;"","partiel","confirmé")))</f>
        <v>partiel</v>
      </c>
      <c r="P33" s="65" t="s">
        <v>143</v>
      </c>
      <c r="Q33" s="50" t="s">
        <v>73</v>
      </c>
      <c r="R33" s="65" t="s">
        <v>144</v>
      </c>
      <c r="S33" s="65" t="s">
        <v>145</v>
      </c>
    </row>
    <row r="34" customHeight="1" ht="30" customFormat="1" s="70">
      <c r="A34" s="17" t="s">
        <v>129</v>
      </c>
      <c r="B34" s="17" t="s">
        <v>146</v>
      </c>
      <c r="C34" s="17" t="s">
        <v>21</v>
      </c>
      <c r="D34" s="17"/>
      <c r="E34" s="17" t="s">
        <v>23</v>
      </c>
      <c r="F34" s="19"/>
      <c r="G34" s="17"/>
      <c r="H34" s="19"/>
      <c r="I34" s="17"/>
      <c r="J34" s="17"/>
      <c r="K34" s="17" t="s">
        <v>126</v>
      </c>
      <c r="L34" s="17"/>
      <c r="M34" s="17">
        <v>1</v>
      </c>
      <c r="N34" s="17" t="s">
        <v>43</v>
      </c>
      <c r="O34" s="17" t="str">
        <f>IF($A34="","",IF($R34="","à confirmer",IF($P34&lt;&gt;"","partiel","confirmé")))</f>
        <v>à confirmer</v>
      </c>
      <c r="P34" s="40" t="s">
        <v>147</v>
      </c>
      <c r="Q34" s="17" t="s">
        <v>55</v>
      </c>
      <c r="R34" s="40"/>
      <c r="S34" s="40"/>
    </row>
    <row r="35" customHeight="1" ht="30" customFormat="1" s="70">
      <c r="A35" s="17" t="s">
        <v>148</v>
      </c>
      <c r="B35" s="17" t="s">
        <v>149</v>
      </c>
      <c r="C35" s="17" t="s">
        <v>118</v>
      </c>
      <c r="D35" s="17"/>
      <c r="E35" s="17" t="s">
        <v>36</v>
      </c>
      <c r="F35" s="19"/>
      <c r="G35" s="17"/>
      <c r="H35" s="19"/>
      <c r="I35" s="17" t="s">
        <v>121</v>
      </c>
      <c r="J35" s="17" t="s">
        <v>116</v>
      </c>
      <c r="K35" s="17"/>
      <c r="L35" s="17"/>
      <c r="M35" s="17">
        <v>0</v>
      </c>
      <c r="N35" s="17" t="s">
        <v>43</v>
      </c>
      <c r="O35" s="17" t="str">
        <f>IF($A35="","",IF($R35="","à confirmer",IF($P35&lt;&gt;"","partiel","confirmé")))</f>
        <v>à confirmer</v>
      </c>
      <c r="P35" s="40" t="s">
        <v>150</v>
      </c>
      <c r="Q35" s="17" t="s">
        <v>73</v>
      </c>
      <c r="R35" s="40"/>
      <c r="S35" s="40"/>
    </row>
    <row r="36" customHeight="1" ht="30" customFormat="1" s="71">
      <c r="A36" s="17" t="s">
        <v>151</v>
      </c>
      <c r="B36" s="17" t="s">
        <v>152</v>
      </c>
      <c r="C36" s="17" t="s">
        <v>21</v>
      </c>
      <c r="D36" s="17"/>
      <c r="E36" s="17" t="s">
        <v>36</v>
      </c>
      <c r="F36" s="19"/>
      <c r="G36" s="17"/>
      <c r="H36" s="19"/>
      <c r="I36" s="17" t="s">
        <v>126</v>
      </c>
      <c r="J36" s="17" t="s">
        <v>129</v>
      </c>
      <c r="K36" s="17"/>
      <c r="L36" s="17" t="s">
        <v>153</v>
      </c>
      <c r="M36" s="17">
        <v>0</v>
      </c>
      <c r="N36" s="17" t="s">
        <v>43</v>
      </c>
      <c r="O36" s="17" t="str">
        <f>IF($A36="","",IF($R36="","à confirmer",IF($P36&lt;&gt;"","partiel","confirmé")))</f>
        <v>à confirmer</v>
      </c>
      <c r="P36" s="40" t="s">
        <v>154</v>
      </c>
      <c r="Q36" s="17" t="s">
        <v>73</v>
      </c>
      <c r="R36" s="40"/>
      <c r="S36" s="40"/>
    </row>
    <row r="37" customHeight="1" ht="30" customFormat="1" s="71">
      <c r="A37" s="17" t="s">
        <v>153</v>
      </c>
      <c r="B37" s="17" t="s">
        <v>35</v>
      </c>
      <c r="C37" s="17" t="s">
        <v>21</v>
      </c>
      <c r="D37" s="17"/>
      <c r="E37" s="17" t="s">
        <v>36</v>
      </c>
      <c r="F37" s="19"/>
      <c r="G37" s="17"/>
      <c r="H37" s="19"/>
      <c r="I37" s="17" t="s">
        <v>126</v>
      </c>
      <c r="J37" s="17" t="s">
        <v>129</v>
      </c>
      <c r="K37" s="17"/>
      <c r="L37" s="17" t="s">
        <v>151</v>
      </c>
      <c r="M37" s="17">
        <v>0</v>
      </c>
      <c r="N37" s="17" t="s">
        <v>43</v>
      </c>
      <c r="O37" s="17" t="str">
        <f>IF($A37="","",IF($R37="","à confirmer",IF($P37&lt;&gt;"","partiel","confirmé")))</f>
        <v>à confirmer</v>
      </c>
      <c r="P37" s="40" t="s">
        <v>154</v>
      </c>
      <c r="Q37" s="17" t="s">
        <v>73</v>
      </c>
      <c r="R37" s="40"/>
      <c r="S37" s="40"/>
    </row>
    <row r="38" customHeight="1" ht="24" customFormat="1" s="71">
      <c r="A38" s="17" t="s">
        <v>171</v>
      </c>
      <c r="B38" s="17" t="s">
        <v>236</v>
      </c>
      <c r="C38" s="17" t="s">
        <v>906</v>
      </c>
      <c r="D38" s="17"/>
      <c r="E38" s="17" t="s">
        <v>23</v>
      </c>
      <c r="F38" s="19"/>
      <c r="G38" s="17"/>
      <c r="H38" s="19"/>
      <c r="I38" s="17"/>
      <c r="J38" s="17"/>
      <c r="K38" s="17" t="s">
        <v>167</v>
      </c>
      <c r="L38" s="17"/>
      <c r="M38" s="17" t="s">
        <v>161</v>
      </c>
      <c r="N38" s="17" t="s">
        <v>43</v>
      </c>
      <c r="O38" s="17" t="str">
        <f>IF($A38="","",IF($R38="","à confirmer",IF($P38&lt;&gt;"","partiel","confirmé")))</f>
        <v>partiel</v>
      </c>
      <c r="P38" s="40" t="s">
        <v>175</v>
      </c>
      <c r="Q38" s="17"/>
      <c r="R38" s="40" t="s">
        <v>176</v>
      </c>
      <c r="S38" s="40"/>
    </row>
    <row r="39" customHeight="1" ht="30" customFormat="1" s="105">
      <c r="A39" s="107" t="s">
        <v>188</v>
      </c>
      <c r="B39" s="107" t="s">
        <v>189</v>
      </c>
      <c r="C39" s="107" t="s">
        <v>169</v>
      </c>
      <c r="D39" s="107"/>
      <c r="E39" s="107" t="s">
        <v>36</v>
      </c>
      <c r="F39" s="108"/>
      <c r="G39" s="107"/>
      <c r="H39" s="108"/>
      <c r="I39" s="107" t="s">
        <v>177</v>
      </c>
      <c r="J39" s="107" t="s">
        <v>180</v>
      </c>
      <c r="K39" s="107"/>
      <c r="L39" s="107" t="s">
        <v>190</v>
      </c>
      <c r="M39" s="107">
        <v>3</v>
      </c>
      <c r="N39" s="107" t="s">
        <v>43</v>
      </c>
      <c r="O39" s="107" t="str">
        <f>IF($A39="","",IF($R39="","à confirmer",IF($P39&lt;&gt;"","partiel","confirmé")))</f>
        <v>partiel</v>
      </c>
      <c r="P39" s="109" t="s">
        <v>191</v>
      </c>
      <c r="Q39" s="107" t="s">
        <v>73</v>
      </c>
      <c r="R39" s="109" t="s">
        <v>192</v>
      </c>
      <c r="S39" s="109" t="s">
        <v>193</v>
      </c>
    </row>
    <row r="40" customHeight="1" ht="30" customFormat="1" s="106">
      <c r="A40" s="107" t="s">
        <v>194</v>
      </c>
      <c r="B40" s="107" t="s">
        <v>183</v>
      </c>
      <c r="C40" s="107" t="s">
        <v>169</v>
      </c>
      <c r="D40" s="107"/>
      <c r="E40" s="107" t="s">
        <v>23</v>
      </c>
      <c r="F40" s="108"/>
      <c r="G40" s="107"/>
      <c r="H40" s="108"/>
      <c r="I40" s="107" t="s">
        <v>177</v>
      </c>
      <c r="J40" s="107" t="s">
        <v>180</v>
      </c>
      <c r="K40" s="107"/>
      <c r="L40" s="107" t="s">
        <v>195</v>
      </c>
      <c r="M40" s="107">
        <v>3</v>
      </c>
      <c r="N40" s="107" t="s">
        <v>43</v>
      </c>
      <c r="O40" s="107" t="str">
        <f>IF($A40="","",IF($R40="","à confirmer",IF($P40&lt;&gt;"","partiel","confirmé")))</f>
        <v>partiel</v>
      </c>
      <c r="P40" s="109" t="s">
        <v>191</v>
      </c>
      <c r="Q40" s="107" t="s">
        <v>55</v>
      </c>
      <c r="R40" s="109" t="s">
        <v>196</v>
      </c>
      <c r="S40" s="109" t="s">
        <v>197</v>
      </c>
    </row>
    <row r="41" customHeight="1" ht="30" customFormat="1" s="105">
      <c r="A41" s="107" t="s">
        <v>198</v>
      </c>
      <c r="B41" s="107" t="s">
        <v>199</v>
      </c>
      <c r="C41" s="107" t="s">
        <v>200</v>
      </c>
      <c r="D41" s="107" t="s">
        <v>169</v>
      </c>
      <c r="E41" s="107" t="s">
        <v>23</v>
      </c>
      <c r="F41" s="108"/>
      <c r="G41" s="107"/>
      <c r="H41" s="108"/>
      <c r="I41" s="107" t="s">
        <v>177</v>
      </c>
      <c r="J41" s="107" t="s">
        <v>180</v>
      </c>
      <c r="K41" s="107" t="s">
        <v>201</v>
      </c>
      <c r="L41" s="107" t="s">
        <v>202</v>
      </c>
      <c r="M41" s="107">
        <v>3</v>
      </c>
      <c r="N41" s="107" t="s">
        <v>43</v>
      </c>
      <c r="O41" s="107" t="str">
        <f>IF($A41="","",IF($R41="","à confirmer",IF($P41&lt;&gt;"","partiel","confirmé")))</f>
        <v>partiel</v>
      </c>
      <c r="P41" s="109" t="s">
        <v>203</v>
      </c>
      <c r="Q41" s="107" t="s">
        <v>55</v>
      </c>
      <c r="R41" s="109" t="s">
        <v>204</v>
      </c>
      <c r="S41" s="109" t="s">
        <v>205</v>
      </c>
    </row>
    <row r="42" customHeight="1" ht="30" customFormat="1" s="105">
      <c r="A42" s="107" t="s">
        <v>206</v>
      </c>
      <c r="B42" s="107" t="s">
        <v>207</v>
      </c>
      <c r="C42" s="107" t="s">
        <v>169</v>
      </c>
      <c r="D42" s="107"/>
      <c r="E42" s="107" t="s">
        <v>23</v>
      </c>
      <c r="F42" s="108"/>
      <c r="G42" s="107"/>
      <c r="H42" s="108" t="s">
        <v>208</v>
      </c>
      <c r="I42" s="107" t="s">
        <v>177</v>
      </c>
      <c r="J42" s="107" t="s">
        <v>180</v>
      </c>
      <c r="K42" s="107"/>
      <c r="L42" s="107" t="s">
        <v>209</v>
      </c>
      <c r="M42" s="107">
        <v>3</v>
      </c>
      <c r="N42" s="107" t="s">
        <v>43</v>
      </c>
      <c r="O42" s="107" t="str">
        <f>IF($A42="","",IF($R42="","à confirmer",IF($P42&lt;&gt;"","partiel","confirmé")))</f>
        <v>partiel</v>
      </c>
      <c r="P42" s="109" t="s">
        <v>210</v>
      </c>
      <c r="Q42" s="107" t="s">
        <v>55</v>
      </c>
      <c r="R42" s="109" t="s">
        <v>211</v>
      </c>
      <c r="S42" s="109" t="s">
        <v>212</v>
      </c>
    </row>
    <row r="43" customHeight="1" ht="30" customFormat="1" s="1">
      <c r="A43" s="50" t="s">
        <v>201</v>
      </c>
      <c r="B43" s="50" t="s">
        <v>168</v>
      </c>
      <c r="C43" s="50" t="s">
        <v>200</v>
      </c>
      <c r="D43" s="50"/>
      <c r="E43" s="50" t="s">
        <v>36</v>
      </c>
      <c r="F43" s="62"/>
      <c r="G43" s="50"/>
      <c r="H43" s="62"/>
      <c r="I43" s="50"/>
      <c r="J43" s="50"/>
      <c r="K43" s="50" t="s">
        <v>198</v>
      </c>
      <c r="L43" s="50"/>
      <c r="M43" s="50">
        <v>3</v>
      </c>
      <c r="N43" s="50" t="s">
        <v>43</v>
      </c>
      <c r="O43" s="50" t="str">
        <f>IF($A43="","",IF($R43="","à confirmer",IF($P43&lt;&gt;"","partiel","confirmé")))</f>
        <v>partiel</v>
      </c>
      <c r="P43" s="65" t="s">
        <v>213</v>
      </c>
      <c r="Q43" s="50" t="s">
        <v>73</v>
      </c>
      <c r="R43" s="65" t="s">
        <v>214</v>
      </c>
      <c r="S43" s="65"/>
    </row>
    <row r="44" customHeight="1" ht="30" customFormat="1" s="106">
      <c r="A44" s="107" t="s">
        <v>235</v>
      </c>
      <c r="B44" s="107" t="s">
        <v>236</v>
      </c>
      <c r="C44" s="107" t="s">
        <v>169</v>
      </c>
      <c r="D44" s="107"/>
      <c r="E44" s="107" t="s">
        <v>23</v>
      </c>
      <c r="F44" s="108"/>
      <c r="G44" s="107"/>
      <c r="H44" s="108"/>
      <c r="I44" s="107" t="s">
        <v>177</v>
      </c>
      <c r="J44" s="107" t="s">
        <v>180</v>
      </c>
      <c r="K44" s="107"/>
      <c r="L44" s="107" t="s">
        <v>237</v>
      </c>
      <c r="M44" s="107">
        <v>3</v>
      </c>
      <c r="N44" s="107" t="s">
        <v>43</v>
      </c>
      <c r="O44" s="107" t="str">
        <f>IF($A44="","",IF($R44="","à confirmer",IF($P44&lt;&gt;"","partiel","confirmé")))</f>
        <v>partiel</v>
      </c>
      <c r="P44" s="109" t="s">
        <v>238</v>
      </c>
      <c r="Q44" s="107"/>
      <c r="R44" s="109" t="s">
        <v>239</v>
      </c>
      <c r="S44" s="109" t="s">
        <v>240</v>
      </c>
    </row>
    <row r="45" customHeight="1" ht="30" customFormat="1" s="106">
      <c r="A45" s="107" t="s">
        <v>241</v>
      </c>
      <c r="B45" s="107" t="s">
        <v>117</v>
      </c>
      <c r="C45" s="107" t="s">
        <v>169</v>
      </c>
      <c r="D45" s="107"/>
      <c r="E45" s="107" t="s">
        <v>23</v>
      </c>
      <c r="F45" s="108"/>
      <c r="G45" s="107"/>
      <c r="H45" s="108"/>
      <c r="I45" s="107" t="s">
        <v>177</v>
      </c>
      <c r="J45" s="107" t="s">
        <v>180</v>
      </c>
      <c r="K45" s="107"/>
      <c r="L45" s="107" t="s">
        <v>242</v>
      </c>
      <c r="M45" s="107">
        <v>3</v>
      </c>
      <c r="N45" s="107" t="s">
        <v>43</v>
      </c>
      <c r="O45" s="107" t="str">
        <f>IF($A45="","",IF($R45="","à confirmer",IF($P45&lt;&gt;"","partiel","confirmé")))</f>
        <v>partiel</v>
      </c>
      <c r="P45" s="109" t="s">
        <v>243</v>
      </c>
      <c r="Q45" s="107"/>
      <c r="R45" s="109" t="s">
        <v>244</v>
      </c>
      <c r="S45" s="109" t="s">
        <v>245</v>
      </c>
    </row>
    <row r="46" customHeight="1" ht="30" customFormat="1" s="66">
      <c r="A46" s="81" t="s">
        <v>229</v>
      </c>
      <c r="B46" s="81" t="s">
        <v>275</v>
      </c>
      <c r="C46" s="81" t="s">
        <v>225</v>
      </c>
      <c r="D46" s="81"/>
      <c r="E46" s="81" t="s">
        <v>36</v>
      </c>
      <c r="F46" s="82" t="s">
        <v>276</v>
      </c>
      <c r="G46" s="81"/>
      <c r="H46" s="82"/>
      <c r="I46" s="81"/>
      <c r="J46" s="81"/>
      <c r="K46" s="81" t="s">
        <v>230</v>
      </c>
      <c r="L46" s="81"/>
      <c r="M46" s="81">
        <v>4</v>
      </c>
      <c r="N46" s="81" t="s">
        <v>43</v>
      </c>
      <c r="O46" s="81" t="str">
        <f>IF($A46="","",IF($R46="","à confirmer",IF($P46&lt;&gt;"","partiel","confirmé")))</f>
        <v>partiel</v>
      </c>
      <c r="P46" s="83" t="s">
        <v>277</v>
      </c>
      <c r="Q46" s="17"/>
      <c r="R46" s="83" t="s">
        <v>278</v>
      </c>
      <c r="S46" s="83" t="s">
        <v>279</v>
      </c>
    </row>
    <row r="47" customHeight="1" ht="42.75" customFormat="1" s="66">
      <c r="A47" s="81" t="s">
        <v>230</v>
      </c>
      <c r="B47" s="81" t="s">
        <v>280</v>
      </c>
      <c r="C47" s="81" t="s">
        <v>225</v>
      </c>
      <c r="D47" s="81" t="s">
        <v>281</v>
      </c>
      <c r="E47" s="81" t="s">
        <v>23</v>
      </c>
      <c r="F47" s="82" t="s">
        <v>282</v>
      </c>
      <c r="G47" s="81"/>
      <c r="H47" s="82" t="s">
        <v>829</v>
      </c>
      <c r="I47" s="81"/>
      <c r="J47" s="81"/>
      <c r="K47" s="81" t="s">
        <v>229</v>
      </c>
      <c r="L47" s="81"/>
      <c r="M47" s="81">
        <v>4</v>
      </c>
      <c r="N47" s="81" t="s">
        <v>43</v>
      </c>
      <c r="O47" s="81" t="str">
        <f>IF($A47="","",IF($R47="","à confirmer",IF($P47&lt;&gt;"","partiel","confirmé")))</f>
        <v>partiel</v>
      </c>
      <c r="P47" s="83" t="s">
        <v>284</v>
      </c>
      <c r="Q47" s="17"/>
      <c r="R47" s="83" t="s">
        <v>285</v>
      </c>
      <c r="S47" s="83" t="s">
        <v>286</v>
      </c>
    </row>
    <row r="48" customHeight="1" ht="42.75" customFormat="1" s="66">
      <c r="A48" s="81" t="s">
        <v>287</v>
      </c>
      <c r="B48" s="81" t="s">
        <v>288</v>
      </c>
      <c r="C48" s="81" t="s">
        <v>225</v>
      </c>
      <c r="D48" s="81" t="s">
        <v>225</v>
      </c>
      <c r="E48" s="81" t="s">
        <v>23</v>
      </c>
      <c r="F48" s="82"/>
      <c r="G48" s="81"/>
      <c r="H48" s="82"/>
      <c r="I48" s="81" t="s">
        <v>229</v>
      </c>
      <c r="J48" s="81" t="s">
        <v>230</v>
      </c>
      <c r="K48" s="81"/>
      <c r="L48" s="81" t="s">
        <v>289</v>
      </c>
      <c r="M48" s="81">
        <v>3</v>
      </c>
      <c r="N48" s="81" t="s">
        <v>43</v>
      </c>
      <c r="O48" s="81" t="str">
        <f>IF($A48="","",IF($R48="","à confirmer",IF($P48&lt;&gt;"","partiel","confirmé")))</f>
        <v>à confirmer</v>
      </c>
      <c r="P48" s="83" t="s">
        <v>290</v>
      </c>
      <c r="Q48" s="36" t="s">
        <v>55</v>
      </c>
      <c r="R48" s="83"/>
      <c r="S48" s="83" t="s">
        <v>291</v>
      </c>
    </row>
    <row r="49" customHeight="1" ht="30" customFormat="1" s="66">
      <c r="A49" s="81" t="s">
        <v>292</v>
      </c>
      <c r="B49" s="81" t="s">
        <v>117</v>
      </c>
      <c r="C49" s="81" t="s">
        <v>225</v>
      </c>
      <c r="D49" s="81" t="s">
        <v>225</v>
      </c>
      <c r="E49" s="81" t="s">
        <v>23</v>
      </c>
      <c r="F49" s="82"/>
      <c r="G49" s="81"/>
      <c r="H49" s="82"/>
      <c r="I49" s="81" t="s">
        <v>229</v>
      </c>
      <c r="J49" s="81" t="s">
        <v>230</v>
      </c>
      <c r="K49" s="81"/>
      <c r="L49" s="81" t="s">
        <v>293</v>
      </c>
      <c r="M49" s="81">
        <v>3</v>
      </c>
      <c r="N49" s="81" t="s">
        <v>43</v>
      </c>
      <c r="O49" s="81" t="str">
        <f>IF($A49="","",IF($R49="","à confirmer",IF($P49&lt;&gt;"","partiel","confirmé")))</f>
        <v>à confirmer</v>
      </c>
      <c r="P49" s="83" t="s">
        <v>294</v>
      </c>
      <c r="Q49" s="36" t="s">
        <v>55</v>
      </c>
      <c r="R49" s="83"/>
      <c r="S49" s="83" t="s">
        <v>291</v>
      </c>
    </row>
    <row r="50" customHeight="1" ht="30" customFormat="1" s="66">
      <c r="A50" s="17" t="s">
        <v>27</v>
      </c>
      <c r="B50" s="17" t="s">
        <v>295</v>
      </c>
      <c r="C50" s="17" t="s">
        <v>22</v>
      </c>
      <c r="D50" s="17"/>
      <c r="E50" s="17" t="s">
        <v>36</v>
      </c>
      <c r="F50" s="19"/>
      <c r="G50" s="17"/>
      <c r="H50" s="19"/>
      <c r="I50" s="17"/>
      <c r="J50" s="17"/>
      <c r="K50" s="17" t="s">
        <v>28</v>
      </c>
      <c r="L50" s="17"/>
      <c r="M50" s="17">
        <v>2</v>
      </c>
      <c r="N50" s="17" t="s">
        <v>31</v>
      </c>
      <c r="O50" s="17" t="str">
        <f>IF($A50="","",IF($R50="","à confirmer",IF($P50&lt;&gt;"","partiel","confirmé")))</f>
        <v>partiel</v>
      </c>
      <c r="P50" s="40" t="s">
        <v>296</v>
      </c>
      <c r="Q50" s="17" t="s">
        <v>73</v>
      </c>
      <c r="R50" s="40" t="s">
        <v>297</v>
      </c>
      <c r="S50" s="40"/>
    </row>
    <row r="51" customHeight="1" ht="30" customFormat="1" s="66">
      <c r="A51" s="17" t="s">
        <v>28</v>
      </c>
      <c r="B51" s="17" t="s">
        <v>298</v>
      </c>
      <c r="C51" s="17" t="s">
        <v>299</v>
      </c>
      <c r="D51" s="17" t="s">
        <v>299</v>
      </c>
      <c r="E51" s="17" t="s">
        <v>23</v>
      </c>
      <c r="F51" s="19"/>
      <c r="G51" s="17"/>
      <c r="H51" s="19"/>
      <c r="I51" s="17"/>
      <c r="J51" s="17"/>
      <c r="K51" s="17" t="s">
        <v>27</v>
      </c>
      <c r="L51" s="17"/>
      <c r="M51" s="17">
        <v>2</v>
      </c>
      <c r="N51" s="17" t="s">
        <v>31</v>
      </c>
      <c r="O51" s="17" t="str">
        <f>IF($A51="","",IF($R51="","à confirmer",IF($P51&lt;&gt;"","partiel","confirmé")))</f>
        <v>partiel</v>
      </c>
      <c r="P51" s="40" t="s">
        <v>300</v>
      </c>
      <c r="Q51" s="17" t="s">
        <v>55</v>
      </c>
      <c r="R51" s="40" t="s">
        <v>301</v>
      </c>
      <c r="S51" s="40"/>
    </row>
    <row r="52" customHeight="1" ht="30" customFormat="1" s="66">
      <c r="A52" s="36" t="s">
        <v>302</v>
      </c>
      <c r="B52" s="36" t="s">
        <v>303</v>
      </c>
      <c r="C52" s="36" t="s">
        <v>304</v>
      </c>
      <c r="D52" s="36" t="s">
        <v>22</v>
      </c>
      <c r="E52" s="36" t="s">
        <v>23</v>
      </c>
      <c r="F52" s="37"/>
      <c r="G52" s="36"/>
      <c r="H52" s="37"/>
      <c r="I52" s="36" t="s">
        <v>27</v>
      </c>
      <c r="J52" s="36" t="s">
        <v>28</v>
      </c>
      <c r="K52" s="36"/>
      <c r="L52" s="36" t="s">
        <v>305</v>
      </c>
      <c r="M52" s="36">
        <v>1</v>
      </c>
      <c r="N52" s="36" t="s">
        <v>31</v>
      </c>
      <c r="O52" s="36" t="str">
        <f>IF($A52="","",IF($R52="","à confirmer",IF($P52&lt;&gt;"","partiel","confirmé")))</f>
        <v>à confirmer</v>
      </c>
      <c r="P52" s="38" t="s">
        <v>306</v>
      </c>
      <c r="Q52" s="36" t="s">
        <v>55</v>
      </c>
      <c r="R52" s="38"/>
      <c r="S52" s="38"/>
    </row>
    <row r="53" customHeight="1" ht="30" customFormat="1" s="66">
      <c r="A53" s="36" t="s">
        <v>307</v>
      </c>
      <c r="B53" s="36" t="s">
        <v>308</v>
      </c>
      <c r="C53" s="36" t="s">
        <v>309</v>
      </c>
      <c r="D53" s="36" t="s">
        <v>22</v>
      </c>
      <c r="E53" s="36" t="s">
        <v>23</v>
      </c>
      <c r="F53" s="37"/>
      <c r="G53" s="36"/>
      <c r="H53" s="37"/>
      <c r="I53" s="36" t="s">
        <v>27</v>
      </c>
      <c r="J53" s="36" t="s">
        <v>28</v>
      </c>
      <c r="K53" s="36"/>
      <c r="L53" s="36" t="s">
        <v>310</v>
      </c>
      <c r="M53" s="36">
        <v>1</v>
      </c>
      <c r="N53" s="36" t="s">
        <v>31</v>
      </c>
      <c r="O53" s="36" t="str">
        <f>IF($A53="","",IF($R53="","à confirmer",IF($P53&lt;&gt;"","partiel","confirmé")))</f>
        <v>à confirmer</v>
      </c>
      <c r="P53" s="38" t="s">
        <v>306</v>
      </c>
      <c r="Q53" s="36" t="s">
        <v>55</v>
      </c>
      <c r="R53" s="38"/>
      <c r="S53" s="38"/>
    </row>
    <row r="54" customHeight="1" ht="42.75" customFormat="1" s="66">
      <c r="A54" s="50" t="s">
        <v>311</v>
      </c>
      <c r="B54" s="50" t="s">
        <v>312</v>
      </c>
      <c r="C54" s="50" t="s">
        <v>169</v>
      </c>
      <c r="D54" s="50"/>
      <c r="E54" s="50" t="s">
        <v>36</v>
      </c>
      <c r="F54" s="62"/>
      <c r="G54" s="50"/>
      <c r="H54" s="62"/>
      <c r="I54" s="50"/>
      <c r="J54" s="50"/>
      <c r="K54" s="50"/>
      <c r="L54" s="50"/>
      <c r="M54" s="50"/>
      <c r="N54" s="50" t="s">
        <v>313</v>
      </c>
      <c r="O54" s="50" t="str">
        <f>IF($A54="","",IF($R54="","à confirmer",IF($P54&lt;&gt;"","partiel","confirmé")))</f>
        <v>partiel</v>
      </c>
      <c r="P54" s="65" t="s">
        <v>314</v>
      </c>
      <c r="Q54" s="17" t="s">
        <v>73</v>
      </c>
      <c r="R54" s="65" t="s">
        <v>315</v>
      </c>
      <c r="S54" s="65" t="s">
        <v>316</v>
      </c>
    </row>
    <row r="55" customHeight="1" ht="30" customFormat="1" s="66">
      <c r="A55" s="50" t="s">
        <v>317</v>
      </c>
      <c r="B55" s="50" t="s">
        <v>318</v>
      </c>
      <c r="C55" s="50" t="s">
        <v>169</v>
      </c>
      <c r="D55" s="50" t="s">
        <v>319</v>
      </c>
      <c r="E55" s="50" t="s">
        <v>23</v>
      </c>
      <c r="F55" s="62"/>
      <c r="G55" s="50"/>
      <c r="H55" s="62"/>
      <c r="I55" s="50"/>
      <c r="J55" s="50"/>
      <c r="K55" s="50"/>
      <c r="L55" s="50"/>
      <c r="M55" s="50"/>
      <c r="N55" s="50" t="s">
        <v>313</v>
      </c>
      <c r="O55" s="50" t="str">
        <f>IF($A55="","",IF($R55="","à confirmer",IF($P55&lt;&gt;"","partiel","confirmé")))</f>
        <v>partiel</v>
      </c>
      <c r="P55" s="65" t="s">
        <v>320</v>
      </c>
      <c r="Q55" s="50" t="s">
        <v>55</v>
      </c>
      <c r="R55" s="65" t="s">
        <v>321</v>
      </c>
      <c r="S55" s="65" t="s">
        <v>322</v>
      </c>
    </row>
    <row r="56" customFormat="1" s="93">
      <c r="A56" s="17" t="s">
        <v>905</v>
      </c>
      <c r="B56" s="104" t="s">
        <v>915</v>
      </c>
      <c r="C56" s="17" t="s">
        <v>169</v>
      </c>
      <c r="D56" s="17" t="s">
        <v>906</v>
      </c>
      <c r="E56" s="17" t="s">
        <v>23</v>
      </c>
      <c r="F56" s="19" t="s">
        <v>910</v>
      </c>
      <c r="G56" s="17" t="s">
        <v>227</v>
      </c>
      <c r="H56" s="19"/>
      <c r="I56" s="17" t="s">
        <v>914</v>
      </c>
      <c r="J56" s="17" t="s">
        <v>913</v>
      </c>
      <c r="K56" s="17" t="s">
        <v>899</v>
      </c>
      <c r="L56" s="17"/>
      <c r="M56" s="17"/>
      <c r="N56" s="17"/>
      <c r="O56" s="17" t="str">
        <f>IF($A56="","",IF($R56="","à confirmer",IF($P56&lt;&gt;"","partiel","confirmé")))</f>
        <v>partiel</v>
      </c>
      <c r="P56" s="40" t="s">
        <v>909</v>
      </c>
      <c r="Q56" s="50" t="s">
        <v>55</v>
      </c>
      <c r="R56" s="17" t="s">
        <v>908</v>
      </c>
      <c r="S56" s="40"/>
    </row>
    <row r="57" customFormat="1" s="66">
      <c r="A57" s="17" t="s">
        <v>917</v>
      </c>
      <c r="B57" s="17" t="s">
        <v>312</v>
      </c>
      <c r="C57" s="17" t="s">
        <v>918</v>
      </c>
      <c r="D57" s="17"/>
      <c r="E57" s="17" t="s">
        <v>36</v>
      </c>
      <c r="F57" s="19" t="s">
        <v>919</v>
      </c>
      <c r="G57" s="17" t="s">
        <v>920</v>
      </c>
      <c r="H57" s="19"/>
      <c r="I57" s="17" t="s">
        <v>921</v>
      </c>
      <c r="J57" s="17" t="s">
        <v>922</v>
      </c>
      <c r="K57" s="17" t="s">
        <v>267</v>
      </c>
      <c r="L57" s="17"/>
      <c r="M57" s="17"/>
      <c r="N57" s="17"/>
      <c r="O57" s="17" t="str">
        <f>IF($A57="","",IF($R57="","à confirmer",IF($P57&lt;&gt;"","partiel","confirmé")))</f>
        <v>partiel</v>
      </c>
      <c r="P57" s="40" t="s">
        <v>909</v>
      </c>
      <c r="Q57" s="17" t="s">
        <v>73</v>
      </c>
      <c r="R57" s="17" t="s">
        <v>923</v>
      </c>
      <c r="S57" s="40"/>
    </row>
    <row r="58" customFormat="1" s="66">
      <c r="A58" s="17"/>
      <c r="B58" s="17"/>
      <c r="C58" s="17"/>
      <c r="D58" s="17"/>
      <c r="E58" s="17"/>
      <c r="F58" s="19"/>
      <c r="G58" s="17"/>
      <c r="H58" s="19"/>
      <c r="I58" s="17"/>
      <c r="J58" s="17"/>
      <c r="K58" s="17"/>
      <c r="L58" s="17"/>
      <c r="M58" s="17"/>
      <c r="N58" s="17"/>
      <c r="O58" s="17" t="str">
        <f>IF($A58="","",IF($R58="","à confirmer",IF($P58&lt;&gt;"","partiel","confirmé")))</f>
        <v/>
      </c>
      <c r="P58" s="40"/>
      <c r="Q58" s="17"/>
      <c r="R58" s="17"/>
      <c r="S58" s="40"/>
    </row>
    <row r="59" customFormat="1" s="66">
      <c r="A59" s="17"/>
      <c r="B59" s="17"/>
      <c r="C59" s="17"/>
      <c r="D59" s="17"/>
      <c r="E59" s="17"/>
      <c r="F59" s="19"/>
      <c r="G59" s="17"/>
      <c r="H59" s="19"/>
      <c r="I59" s="17"/>
      <c r="J59" s="17"/>
      <c r="K59" s="17"/>
      <c r="L59" s="17"/>
      <c r="M59" s="17"/>
      <c r="N59" s="17"/>
      <c r="O59" s="17" t="str">
        <f>IF($A59="","",IF($R59="","à confirmer",IF($P59&lt;&gt;"","partiel","confirmé")))</f>
        <v/>
      </c>
      <c r="P59" s="40"/>
      <c r="Q59" s="17"/>
      <c r="R59" s="17"/>
      <c r="S59" s="40"/>
    </row>
    <row r="60" customFormat="1" s="66">
      <c r="A60" s="17"/>
      <c r="B60" s="17"/>
      <c r="C60" s="17"/>
      <c r="D60" s="17"/>
      <c r="E60" s="17"/>
      <c r="F60" s="19"/>
      <c r="G60" s="17"/>
      <c r="H60" s="19"/>
      <c r="I60" s="17"/>
      <c r="J60" s="17"/>
      <c r="K60" s="17"/>
      <c r="L60" s="17"/>
      <c r="M60" s="17"/>
      <c r="N60" s="17"/>
      <c r="O60" s="17" t="str">
        <f>IF($A60="","",IF($R60="","à confirmer",IF($P60&lt;&gt;"","partiel","confirmé")))</f>
        <v/>
      </c>
      <c r="P60" s="40"/>
      <c r="Q60" s="17"/>
      <c r="R60" s="17"/>
      <c r="S60" s="40"/>
    </row>
    <row r="61" customFormat="1" s="66">
      <c r="A61" s="17"/>
      <c r="B61" s="17"/>
      <c r="C61" s="17"/>
      <c r="D61" s="17"/>
      <c r="E61" s="17"/>
      <c r="F61" s="19"/>
      <c r="G61" s="17"/>
      <c r="H61" s="19"/>
      <c r="I61" s="17"/>
      <c r="J61" s="17"/>
      <c r="K61" s="17"/>
      <c r="L61" s="17"/>
      <c r="M61" s="17"/>
      <c r="N61" s="17"/>
      <c r="O61" s="17" t="str">
        <f>IF($A61="","",IF($R61="","à confirmer",IF($P61&lt;&gt;"","partiel","confirmé")))</f>
        <v/>
      </c>
      <c r="P61" s="40"/>
      <c r="Q61" s="17"/>
      <c r="R61" s="17"/>
      <c r="S61" s="40"/>
    </row>
    <row r="62" customFormat="1" s="66">
      <c r="A62" s="17"/>
      <c r="B62" s="17"/>
      <c r="C62" s="17"/>
      <c r="D62" s="17"/>
      <c r="E62" s="17"/>
      <c r="F62" s="19"/>
      <c r="G62" s="17"/>
      <c r="H62" s="19"/>
      <c r="I62" s="17"/>
      <c r="J62" s="17"/>
      <c r="K62" s="17"/>
      <c r="L62" s="17"/>
      <c r="M62" s="17"/>
      <c r="N62" s="17"/>
      <c r="O62" s="17" t="str">
        <f>IF($A62="","",IF($R62="","à confirmer",IF($P62&lt;&gt;"","partiel","confirmé")))</f>
        <v/>
      </c>
      <c r="P62" s="40"/>
      <c r="Q62" s="17"/>
      <c r="R62" s="17"/>
      <c r="S62" s="40"/>
    </row>
    <row r="63" customFormat="1" s="66">
      <c r="A63" s="17"/>
      <c r="B63" s="17"/>
      <c r="C63" s="17"/>
      <c r="D63" s="17"/>
      <c r="E63" s="17"/>
      <c r="F63" s="19"/>
      <c r="G63" s="17"/>
      <c r="H63" s="19"/>
      <c r="I63" s="17"/>
      <c r="J63" s="17"/>
      <c r="K63" s="17"/>
      <c r="L63" s="17"/>
      <c r="M63" s="17"/>
      <c r="N63" s="17"/>
      <c r="O63" s="17" t="str">
        <f>IF($A63="","",IF($R63="","à confirmer",IF($P63&lt;&gt;"","partiel","confirmé")))</f>
        <v/>
      </c>
      <c r="P63" s="40"/>
      <c r="Q63" s="17"/>
      <c r="R63" s="17"/>
      <c r="S63" s="40"/>
    </row>
    <row r="64" customFormat="1" s="66">
      <c r="A64" s="17"/>
      <c r="B64" s="17"/>
      <c r="C64" s="17"/>
      <c r="D64" s="17"/>
      <c r="E64" s="17"/>
      <c r="F64" s="19"/>
      <c r="G64" s="17"/>
      <c r="H64" s="19"/>
      <c r="I64" s="17"/>
      <c r="J64" s="17"/>
      <c r="K64" s="17"/>
      <c r="L64" s="17"/>
      <c r="M64" s="17"/>
      <c r="N64" s="17"/>
      <c r="O64" s="17" t="str">
        <f>IF($A64="","",IF($R64="","à confirmer",IF($P64&lt;&gt;"","partiel","confirmé")))</f>
        <v/>
      </c>
      <c r="P64" s="40"/>
      <c r="Q64" s="17"/>
      <c r="R64" s="17"/>
      <c r="S64" s="40"/>
    </row>
    <row r="65" customFormat="1" s="66">
      <c r="A65" s="17"/>
      <c r="B65" s="17"/>
      <c r="C65" s="17"/>
      <c r="D65" s="17"/>
      <c r="E65" s="17"/>
      <c r="F65" s="19"/>
      <c r="G65" s="17"/>
      <c r="H65" s="19"/>
      <c r="I65" s="17"/>
      <c r="J65" s="17"/>
      <c r="K65" s="17"/>
      <c r="L65" s="17"/>
      <c r="M65" s="17"/>
      <c r="N65" s="17"/>
      <c r="O65" s="17" t="str">
        <f>IF($A65="","",IF($R65="","à confirmer",IF($P65&lt;&gt;"","partiel","confirmé")))</f>
        <v/>
      </c>
      <c r="P65" s="40"/>
      <c r="Q65" s="17"/>
      <c r="R65" s="17"/>
      <c r="S65" s="40"/>
    </row>
    <row r="66" customFormat="1" s="66">
      <c r="A66" s="17"/>
      <c r="B66" s="17"/>
      <c r="C66" s="17"/>
      <c r="D66" s="17"/>
      <c r="E66" s="17"/>
      <c r="F66" s="19"/>
      <c r="G66" s="17"/>
      <c r="H66" s="19"/>
      <c r="I66" s="17"/>
      <c r="J66" s="17"/>
      <c r="K66" s="17"/>
      <c r="L66" s="17"/>
      <c r="M66" s="17"/>
      <c r="N66" s="17"/>
      <c r="O66" s="17" t="str">
        <f>IF($A66="","",IF($R66="","à confirmer",IF($P66&lt;&gt;"","partiel","confirmé")))</f>
        <v/>
      </c>
      <c r="P66" s="40"/>
      <c r="Q66" s="17"/>
      <c r="R66" s="17"/>
      <c r="S66" s="40"/>
    </row>
    <row r="67" customFormat="1" s="66">
      <c r="A67" s="17"/>
      <c r="B67" s="17"/>
      <c r="C67" s="17"/>
      <c r="D67" s="17"/>
      <c r="E67" s="17"/>
      <c r="F67" s="19"/>
      <c r="G67" s="17"/>
      <c r="H67" s="19"/>
      <c r="I67" s="17"/>
      <c r="J67" s="17"/>
      <c r="K67" s="17"/>
      <c r="L67" s="17"/>
      <c r="M67" s="17"/>
      <c r="N67" s="17"/>
      <c r="O67" s="17" t="str">
        <f>IF($A67="","",IF($R67="","à confirmer",IF($P67&lt;&gt;"","partiel","confirmé")))</f>
        <v/>
      </c>
      <c r="P67" s="40"/>
      <c r="Q67" s="17"/>
      <c r="R67" s="17"/>
      <c r="S67" s="40"/>
    </row>
    <row r="68" customFormat="1" s="66">
      <c r="A68" s="17"/>
      <c r="B68" s="17"/>
      <c r="C68" s="17"/>
      <c r="D68" s="17"/>
      <c r="E68" s="17"/>
      <c r="F68" s="19"/>
      <c r="G68" s="17"/>
      <c r="H68" s="19"/>
      <c r="I68" s="17"/>
      <c r="J68" s="17"/>
      <c r="K68" s="17"/>
      <c r="L68" s="17"/>
      <c r="M68" s="17"/>
      <c r="N68" s="17"/>
      <c r="O68" s="17" t="str">
        <f>IF($A68="","",IF($R68="","à confirmer",IF($P68&lt;&gt;"","partiel","confirmé")))</f>
        <v/>
      </c>
      <c r="P68" s="40"/>
      <c r="Q68" s="17"/>
      <c r="R68" s="17"/>
      <c r="S68" s="40"/>
    </row>
    <row r="69" customFormat="1" s="66">
      <c r="A69" s="17"/>
      <c r="B69" s="17"/>
      <c r="C69" s="17"/>
      <c r="D69" s="17"/>
      <c r="E69" s="17"/>
      <c r="F69" s="19"/>
      <c r="G69" s="17"/>
      <c r="H69" s="19"/>
      <c r="I69" s="17"/>
      <c r="J69" s="17"/>
      <c r="K69" s="17"/>
      <c r="L69" s="17"/>
      <c r="M69" s="17"/>
      <c r="N69" s="17"/>
      <c r="O69" s="17" t="str">
        <f>IF($A69="","",IF($R69="","à confirmer",IF($P69&lt;&gt;"","partiel","confirmé")))</f>
        <v/>
      </c>
      <c r="P69" s="40"/>
      <c r="Q69" s="17"/>
      <c r="R69" s="17"/>
      <c r="S69" s="40"/>
    </row>
    <row r="70" customFormat="1" s="66">
      <c r="A70" s="17"/>
      <c r="B70" s="17"/>
      <c r="C70" s="17"/>
      <c r="D70" s="17"/>
      <c r="E70" s="17"/>
      <c r="F70" s="19"/>
      <c r="G70" s="17"/>
      <c r="H70" s="19"/>
      <c r="I70" s="17"/>
      <c r="J70" s="17"/>
      <c r="K70" s="17"/>
      <c r="L70" s="17"/>
      <c r="M70" s="17"/>
      <c r="N70" s="17"/>
      <c r="O70" s="17" t="str">
        <f>IF($A70="","",IF($R70="","à confirmer",IF($P70&lt;&gt;"","partiel","confirmé")))</f>
        <v/>
      </c>
      <c r="P70" s="40"/>
      <c r="Q70" s="17"/>
      <c r="R70" s="17"/>
      <c r="S70" s="40"/>
    </row>
    <row r="71" customFormat="1" s="66">
      <c r="A71" s="17"/>
      <c r="B71" s="17"/>
      <c r="C71" s="17"/>
      <c r="D71" s="17"/>
      <c r="E71" s="17"/>
      <c r="F71" s="19"/>
      <c r="G71" s="17"/>
      <c r="H71" s="19"/>
      <c r="I71" s="17"/>
      <c r="J71" s="17"/>
      <c r="K71" s="17"/>
      <c r="L71" s="17"/>
      <c r="M71" s="17"/>
      <c r="N71" s="17"/>
      <c r="O71" s="17" t="str">
        <f>IF($A71="","",IF($R71="","à confirmer",IF($P71&lt;&gt;"","partiel","confirmé")))</f>
        <v/>
      </c>
      <c r="P71" s="40"/>
      <c r="Q71" s="17"/>
      <c r="R71" s="17"/>
      <c r="S71" s="40"/>
    </row>
    <row r="72" customFormat="1" s="66">
      <c r="A72" s="17"/>
      <c r="B72" s="17"/>
      <c r="C72" s="17"/>
      <c r="D72" s="17"/>
      <c r="E72" s="17"/>
      <c r="F72" s="19"/>
      <c r="G72" s="17"/>
      <c r="H72" s="19"/>
      <c r="I72" s="17"/>
      <c r="J72" s="17"/>
      <c r="K72" s="17"/>
      <c r="L72" s="17"/>
      <c r="M72" s="17"/>
      <c r="N72" s="17"/>
      <c r="O72" s="17" t="str">
        <f>IF($A72="","",IF($R72="","à confirmer",IF($P72&lt;&gt;"","partiel","confirmé")))</f>
        <v/>
      </c>
      <c r="P72" s="40"/>
      <c r="Q72" s="17"/>
      <c r="R72" s="17"/>
      <c r="S72" s="40"/>
    </row>
    <row r="73" customFormat="1" s="66">
      <c r="A73" s="17"/>
      <c r="B73" s="17"/>
      <c r="C73" s="17"/>
      <c r="D73" s="17"/>
      <c r="E73" s="17"/>
      <c r="F73" s="19"/>
      <c r="G73" s="17"/>
      <c r="H73" s="19"/>
      <c r="I73" s="17"/>
      <c r="J73" s="17"/>
      <c r="K73" s="17"/>
      <c r="L73" s="17"/>
      <c r="M73" s="17"/>
      <c r="N73" s="17"/>
      <c r="O73" s="17" t="str">
        <f>IF($A73="","",IF($R73="","à confirmer",IF($P73&lt;&gt;"","partiel","confirmé")))</f>
        <v/>
      </c>
      <c r="P73" s="40"/>
      <c r="Q73" s="17"/>
      <c r="R73" s="17"/>
      <c r="S73" s="40"/>
    </row>
    <row r="74" customFormat="1" s="66">
      <c r="A74" s="17"/>
      <c r="B74" s="17"/>
      <c r="C74" s="17"/>
      <c r="D74" s="17"/>
      <c r="E74" s="17"/>
      <c r="F74" s="19"/>
      <c r="G74" s="17"/>
      <c r="H74" s="19"/>
      <c r="I74" s="17"/>
      <c r="J74" s="17"/>
      <c r="K74" s="17"/>
      <c r="L74" s="17"/>
      <c r="M74" s="17"/>
      <c r="N74" s="17"/>
      <c r="O74" s="17" t="str">
        <f>IF($A74="","",IF($R74="","à confirmer",IF($P74&lt;&gt;"","partiel","confirmé")))</f>
        <v/>
      </c>
      <c r="P74" s="40"/>
      <c r="Q74" s="17"/>
      <c r="R74" s="17"/>
      <c r="S74" s="40"/>
    </row>
    <row r="75" customFormat="1" s="66">
      <c r="A75" s="17"/>
      <c r="B75" s="17"/>
      <c r="C75" s="17"/>
      <c r="D75" s="17"/>
      <c r="E75" s="17"/>
      <c r="F75" s="19"/>
      <c r="G75" s="17"/>
      <c r="H75" s="19"/>
      <c r="I75" s="17"/>
      <c r="J75" s="17"/>
      <c r="K75" s="17"/>
      <c r="L75" s="17"/>
      <c r="M75" s="17"/>
      <c r="N75" s="17"/>
      <c r="O75" s="17" t="str">
        <f>IF($A75="","",IF($R75="","à confirmer",IF($P75&lt;&gt;"","partiel","confirmé")))</f>
        <v/>
      </c>
      <c r="P75" s="40"/>
      <c r="Q75" s="17"/>
      <c r="R75" s="17"/>
      <c r="S75" s="40"/>
    </row>
    <row r="76" customFormat="1" s="66">
      <c r="A76" s="17"/>
      <c r="B76" s="17"/>
      <c r="C76" s="17"/>
      <c r="D76" s="17"/>
      <c r="E76" s="17"/>
      <c r="F76" s="19"/>
      <c r="G76" s="17"/>
      <c r="H76" s="19"/>
      <c r="I76" s="17"/>
      <c r="J76" s="17"/>
      <c r="K76" s="17"/>
      <c r="L76" s="17"/>
      <c r="M76" s="17"/>
      <c r="N76" s="17"/>
      <c r="O76" s="17" t="str">
        <f>IF($A76="","",IF($R76="","à confirmer",IF($P76&lt;&gt;"","partiel","confirmé")))</f>
        <v/>
      </c>
      <c r="P76" s="40"/>
      <c r="Q76" s="17"/>
      <c r="R76" s="17"/>
      <c r="S76" s="40"/>
    </row>
    <row r="77" customFormat="1" s="66">
      <c r="A77" s="17"/>
      <c r="B77" s="17"/>
      <c r="C77" s="17"/>
      <c r="D77" s="17"/>
      <c r="E77" s="17"/>
      <c r="F77" s="19"/>
      <c r="G77" s="17"/>
      <c r="H77" s="19"/>
      <c r="I77" s="17"/>
      <c r="J77" s="17"/>
      <c r="K77" s="17"/>
      <c r="L77" s="17"/>
      <c r="M77" s="17"/>
      <c r="N77" s="17"/>
      <c r="O77" s="17" t="str">
        <f>IF($A77="","",IF($R77="","à confirmer",IF($P77&lt;&gt;"","partiel","confirmé")))</f>
        <v/>
      </c>
      <c r="P77" s="40"/>
      <c r="Q77" s="17"/>
      <c r="R77" s="17"/>
      <c r="S77" s="40"/>
    </row>
    <row r="78" customFormat="1" s="66">
      <c r="A78" s="17"/>
      <c r="B78" s="17"/>
      <c r="C78" s="17"/>
      <c r="D78" s="17"/>
      <c r="E78" s="17"/>
      <c r="F78" s="19"/>
      <c r="G78" s="17"/>
      <c r="H78" s="19"/>
      <c r="I78" s="17"/>
      <c r="J78" s="17"/>
      <c r="K78" s="17"/>
      <c r="L78" s="17"/>
      <c r="M78" s="17"/>
      <c r="N78" s="17"/>
      <c r="O78" s="17" t="str">
        <f>IF($A78="","",IF($R78="","à confirmer",IF($P78&lt;&gt;"","partiel","confirmé")))</f>
        <v/>
      </c>
      <c r="P78" s="40"/>
      <c r="Q78" s="17"/>
      <c r="R78" s="17"/>
      <c r="S78" s="40"/>
    </row>
    <row r="79" customFormat="1" s="66">
      <c r="A79" s="17"/>
      <c r="B79" s="17"/>
      <c r="C79" s="17"/>
      <c r="D79" s="17"/>
      <c r="E79" s="17"/>
      <c r="F79" s="19"/>
      <c r="G79" s="17"/>
      <c r="H79" s="19"/>
      <c r="I79" s="17"/>
      <c r="J79" s="17"/>
      <c r="K79" s="17"/>
      <c r="L79" s="17"/>
      <c r="M79" s="17"/>
      <c r="N79" s="17"/>
      <c r="O79" s="17" t="str">
        <f>IF($A79="","",IF($R79="","à confirmer",IF($P79&lt;&gt;"","partiel","confirmé")))</f>
        <v/>
      </c>
      <c r="P79" s="40"/>
      <c r="Q79" s="17"/>
      <c r="R79" s="17"/>
      <c r="S79" s="40"/>
    </row>
    <row r="80" customFormat="1" s="66">
      <c r="A80" s="17"/>
      <c r="B80" s="17"/>
      <c r="C80" s="17"/>
      <c r="D80" s="17"/>
      <c r="E80" s="17"/>
      <c r="F80" s="19"/>
      <c r="G80" s="17"/>
      <c r="H80" s="19"/>
      <c r="I80" s="17"/>
      <c r="J80" s="17"/>
      <c r="K80" s="17"/>
      <c r="L80" s="17"/>
      <c r="M80" s="17"/>
      <c r="N80" s="17"/>
      <c r="O80" s="17" t="str">
        <f>IF($A80="","",IF($R80="","à confirmer",IF($P80&lt;&gt;"","partiel","confirmé")))</f>
        <v/>
      </c>
      <c r="P80" s="40"/>
      <c r="Q80" s="17"/>
      <c r="R80" s="17"/>
      <c r="S80" s="40"/>
    </row>
    <row r="81" customFormat="1" s="66">
      <c r="A81" s="17"/>
      <c r="B81" s="17"/>
      <c r="C81" s="17"/>
      <c r="D81" s="17"/>
      <c r="E81" s="17"/>
      <c r="F81" s="19"/>
      <c r="G81" s="17"/>
      <c r="H81" s="19"/>
      <c r="I81" s="17"/>
      <c r="J81" s="17"/>
      <c r="K81" s="17"/>
      <c r="L81" s="17"/>
      <c r="M81" s="17"/>
      <c r="N81" s="17"/>
      <c r="O81" s="17" t="str">
        <f>IF($A81="","",IF($R81="","à confirmer",IF($P81&lt;&gt;"","partiel","confirmé")))</f>
        <v/>
      </c>
      <c r="P81" s="40"/>
      <c r="Q81" s="17"/>
      <c r="R81" s="17"/>
      <c r="S81" s="40"/>
    </row>
    <row r="82" customFormat="1" s="66">
      <c r="A82" s="17"/>
      <c r="B82" s="17"/>
      <c r="C82" s="17"/>
      <c r="D82" s="17"/>
      <c r="E82" s="17"/>
      <c r="F82" s="19"/>
      <c r="G82" s="17"/>
      <c r="H82" s="19"/>
      <c r="I82" s="17"/>
      <c r="J82" s="17"/>
      <c r="K82" s="17"/>
      <c r="L82" s="17"/>
      <c r="M82" s="17"/>
      <c r="N82" s="17"/>
      <c r="O82" s="17" t="str">
        <f>IF($A82="","",IF($R82="","à confirmer",IF($P82&lt;&gt;"","partiel","confirmé")))</f>
        <v/>
      </c>
      <c r="P82" s="40"/>
      <c r="Q82" s="17"/>
      <c r="R82" s="17"/>
      <c r="S82" s="40"/>
    </row>
    <row r="83" customFormat="1" s="66">
      <c r="A83" s="17"/>
      <c r="B83" s="17"/>
      <c r="C83" s="17"/>
      <c r="D83" s="17"/>
      <c r="E83" s="17"/>
      <c r="F83" s="19"/>
      <c r="G83" s="17"/>
      <c r="H83" s="19"/>
      <c r="I83" s="17"/>
      <c r="J83" s="17"/>
      <c r="K83" s="17"/>
      <c r="L83" s="17"/>
      <c r="M83" s="17"/>
      <c r="N83" s="17"/>
      <c r="O83" s="17" t="str">
        <f>IF($A83="","",IF($R83="","à confirmer",IF($P83&lt;&gt;"","partiel","confirmé")))</f>
        <v/>
      </c>
      <c r="P83" s="40"/>
      <c r="Q83" s="17"/>
      <c r="R83" s="17"/>
      <c r="S83" s="40"/>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row r="151">
      <c r="A151" s="14"/>
      <c r="B151" s="14"/>
      <c r="C151" s="14"/>
      <c r="D151" s="14"/>
      <c r="E151" s="14"/>
      <c r="F151" s="15"/>
      <c r="G151" s="14"/>
      <c r="H151" s="15"/>
      <c r="I151" s="14"/>
      <c r="J151" s="14"/>
      <c r="K151" s="14"/>
      <c r="L151" s="14"/>
      <c r="M151" s="14"/>
      <c r="N151" s="14"/>
      <c r="O151" s="14" t="str">
        <f>IF($A151="","",IF($R151="","à confirmer",IF($P151&lt;&gt;"","partiel","confirmé")))</f>
        <v/>
      </c>
      <c r="P151" s="16"/>
      <c r="Q151" s="14"/>
      <c r="R151" s="14"/>
      <c r="S151" s="16"/>
    </row>
    <row r="152">
      <c r="A152" s="14"/>
      <c r="B152" s="14"/>
      <c r="C152" s="14"/>
      <c r="D152" s="14"/>
      <c r="E152" s="14"/>
      <c r="F152" s="15"/>
      <c r="G152" s="14"/>
      <c r="H152" s="15"/>
      <c r="I152" s="14"/>
      <c r="J152" s="14"/>
      <c r="K152" s="14"/>
      <c r="L152" s="14"/>
      <c r="M152" s="14"/>
      <c r="N152" s="14"/>
      <c r="O152" s="14" t="str">
        <f>IF($A152="","",IF($R152="","à confirmer",IF($P152&lt;&gt;"","partiel","confirmé")))</f>
        <v/>
      </c>
      <c r="P152" s="16"/>
      <c r="Q152" s="14"/>
      <c r="R152" s="14"/>
      <c r="S152" s="16"/>
    </row>
    <row r="153">
      <c r="A153" s="14"/>
      <c r="B153" s="14"/>
      <c r="C153" s="14"/>
      <c r="D153" s="14"/>
      <c r="E153" s="14"/>
      <c r="F153" s="15"/>
      <c r="G153" s="14"/>
      <c r="H153" s="15"/>
      <c r="I153" s="14"/>
      <c r="J153" s="14"/>
      <c r="K153" s="14"/>
      <c r="L153" s="14"/>
      <c r="M153" s="14"/>
      <c r="N153" s="14"/>
      <c r="O153" s="14" t="str">
        <f>IF($A153="","",IF($R153="","à confirmer",IF($P153&lt;&gt;"","partiel","confirmé")))</f>
        <v/>
      </c>
      <c r="P153" s="16"/>
      <c r="Q153" s="14"/>
      <c r="R153" s="14"/>
      <c r="S153" s="16"/>
    </row>
  </sheetData>
  <conditionalFormatting sqref="O2:O11 O27:O153">
    <cfRule type="cellIs" priority="58" operator="equal" aboveAverage="0" equalAverage="0" bottom="0" percent="0" rank="0" text="" dxfId="0">
      <formula>"confirmé"</formula>
    </cfRule>
    <cfRule type="cellIs" priority="60" operator="equal" aboveAverage="0" equalAverage="0" bottom="0" percent="0" rank="0" text="" dxfId="1">
      <formula>"partiel"</formula>
    </cfRule>
    <cfRule type="cellIs" priority="62" operator="equal" aboveAverage="0" equalAverage="0" bottom="0" percent="0" rank="0" text="" dxfId="2">
      <formula>"à confirmer"</formula>
    </cfRule>
  </conditionalFormatting>
  <conditionalFormatting sqref="O12">
    <cfRule type="cellIs" dxfId="2" priority="68" operator="equal">
      <formula>"à confirmer"</formula>
    </cfRule>
  </conditionalFormatting>
  <conditionalFormatting sqref="O12">
    <cfRule type="cellIs" dxfId="1" priority="67" operator="equal">
      <formula>"partiel"</formula>
    </cfRule>
  </conditionalFormatting>
  <conditionalFormatting sqref="O2:O11 O20:O151">
    <cfRule type="cellIs" dxfId="0" priority="65" operator="equal">
      <formula>"confirmé"</formula>
    </cfRule>
  </conditionalFormatting>
  <conditionalFormatting sqref="O13">
    <cfRule type="cellIs" dxfId="2" priority="63" operator="equal">
      <formula>"à confirmer"</formula>
    </cfRule>
  </conditionalFormatting>
  <conditionalFormatting sqref="O2:O11 O27:O153">
    <cfRule type="cellIs" dxfId="1" priority="61" operator="equal">
      <formula>"partiel"</formula>
    </cfRule>
  </conditionalFormatting>
  <conditionalFormatting sqref="O2:O11 O27:O37 O39:O154">
    <cfRule type="cellIs" dxfId="0" priority="60" operator="equal">
      <formula>"confirmé"</formula>
    </cfRule>
  </conditionalFormatting>
  <conditionalFormatting sqref="O18">
    <cfRule type="cellIs" dxfId="2" priority="53" operator="equal">
      <formula>"à confirmer"</formula>
    </cfRule>
  </conditionalFormatting>
  <conditionalFormatting sqref="O18">
    <cfRule type="cellIs" dxfId="1" priority="52" operator="equal">
      <formula>"partiel"</formula>
    </cfRule>
  </conditionalFormatting>
  <conditionalFormatting sqref="O18">
    <cfRule type="cellIs" dxfId="0" priority="51" operator="equal">
      <formula>"confirmé"</formula>
    </cfRule>
  </conditionalFormatting>
  <conditionalFormatting sqref="O19">
    <cfRule type="cellIs" dxfId="2" priority="50" operator="equal">
      <formula>"à confirmer"</formula>
    </cfRule>
  </conditionalFormatting>
  <conditionalFormatting sqref="O19">
    <cfRule type="cellIs" dxfId="1" priority="49" operator="equal">
      <formula>"partiel"</formula>
    </cfRule>
  </conditionalFormatting>
  <conditionalFormatting sqref="O19">
    <cfRule type="cellIs" dxfId="0" priority="48" operator="equal">
      <formula>"confirmé"</formula>
    </cfRule>
  </conditionalFormatting>
  <conditionalFormatting sqref="O14">
    <cfRule type="cellIs" dxfId="2" priority="47" operator="equal">
      <formula>"à confirmer"</formula>
    </cfRule>
  </conditionalFormatting>
  <conditionalFormatting sqref="O14">
    <cfRule type="cellIs" dxfId="0" priority="46" operator="equal">
      <formula>"confirmé"</formula>
    </cfRule>
  </conditionalFormatting>
  <conditionalFormatting sqref="O14">
    <cfRule type="cellIs" dxfId="1" priority="45" operator="equal">
      <formula>"partiel"</formula>
    </cfRule>
  </conditionalFormatting>
  <conditionalFormatting sqref="O14">
    <cfRule type="cellIs" dxfId="0" priority="44" operator="equal">
      <formula>"confirmé"</formula>
    </cfRule>
  </conditionalFormatting>
  <conditionalFormatting sqref="O15">
    <cfRule type="cellIs" dxfId="2" priority="43" operator="equal">
      <formula>"à confirmer"</formula>
    </cfRule>
  </conditionalFormatting>
  <conditionalFormatting sqref="O15">
    <cfRule type="cellIs" dxfId="0" priority="42" operator="equal">
      <formula>"confirmé"</formula>
    </cfRule>
  </conditionalFormatting>
  <conditionalFormatting sqref="O15">
    <cfRule type="cellIs" dxfId="1" priority="41" operator="equal">
      <formula>"partiel"</formula>
    </cfRule>
  </conditionalFormatting>
  <conditionalFormatting sqref="O15">
    <cfRule type="cellIs" dxfId="0" priority="40" operator="equal">
      <formula>"confirmé"</formula>
    </cfRule>
  </conditionalFormatting>
  <conditionalFormatting sqref="O16">
    <cfRule type="cellIs" dxfId="2" priority="35" operator="equal">
      <formula>"à confirmer"</formula>
    </cfRule>
  </conditionalFormatting>
  <conditionalFormatting sqref="O16">
    <cfRule type="cellIs" dxfId="0" priority="34" operator="equal">
      <formula>"confirmé"</formula>
    </cfRule>
  </conditionalFormatting>
  <conditionalFormatting sqref="O16">
    <cfRule type="cellIs" dxfId="1" priority="33" operator="equal">
      <formula>"partiel"</formula>
    </cfRule>
  </conditionalFormatting>
  <conditionalFormatting sqref="O16">
    <cfRule type="cellIs" dxfId="0" priority="32" operator="equal">
      <formula>"confirmé"</formula>
    </cfRule>
  </conditionalFormatting>
  <conditionalFormatting sqref="O17">
    <cfRule type="cellIs" dxfId="2" priority="31" operator="equal">
      <formula>"à confirmer"</formula>
    </cfRule>
  </conditionalFormatting>
  <conditionalFormatting sqref="O17">
    <cfRule type="cellIs" dxfId="0" priority="30" operator="equal">
      <formula>"confirmé"</formula>
    </cfRule>
  </conditionalFormatting>
  <conditionalFormatting sqref="O17">
    <cfRule type="cellIs" dxfId="1" priority="29" operator="equal">
      <formula>"partiel"</formula>
    </cfRule>
  </conditionalFormatting>
  <conditionalFormatting sqref="O17">
    <cfRule type="cellIs" dxfId="0" priority="28" operator="equal">
      <formula>"confirmé"</formula>
    </cfRule>
  </conditionalFormatting>
  <conditionalFormatting sqref="O20">
    <cfRule type="cellIs" dxfId="0" priority="27" operator="equal">
      <formula>"confirmé"</formula>
    </cfRule>
  </conditionalFormatting>
  <conditionalFormatting sqref="O20">
    <cfRule type="cellIs" dxfId="2" priority="26" operator="equal">
      <formula>"à confirmer"</formula>
    </cfRule>
  </conditionalFormatting>
  <conditionalFormatting sqref="O20">
    <cfRule type="cellIs" dxfId="1" priority="25" operator="equal">
      <formula>"partiel"</formula>
    </cfRule>
  </conditionalFormatting>
  <conditionalFormatting sqref="O20">
    <cfRule type="cellIs" dxfId="1" priority="24" operator="equal">
      <formula>"partiel"</formula>
    </cfRule>
  </conditionalFormatting>
  <conditionalFormatting sqref="O20">
    <cfRule type="cellIs" dxfId="0" priority="23" operator="equal">
      <formula>"confirmé"</formula>
    </cfRule>
  </conditionalFormatting>
  <conditionalFormatting sqref="O21">
    <cfRule type="cellIs" dxfId="0" priority="22" operator="equal">
      <formula>"confirmé"</formula>
    </cfRule>
  </conditionalFormatting>
  <conditionalFormatting sqref="O21">
    <cfRule type="cellIs" dxfId="2" priority="21" operator="equal">
      <formula>"à confirmer"</formula>
    </cfRule>
  </conditionalFormatting>
  <conditionalFormatting sqref="O21">
    <cfRule type="cellIs" dxfId="1" priority="20" operator="equal">
      <formula>"partiel"</formula>
    </cfRule>
  </conditionalFormatting>
  <conditionalFormatting sqref="O21">
    <cfRule type="cellIs" dxfId="1" priority="19" operator="equal">
      <formula>"partiel"</formula>
    </cfRule>
  </conditionalFormatting>
  <conditionalFormatting sqref="O21">
    <cfRule type="cellIs" dxfId="0" priority="18" operator="equal">
      <formula>"confirmé"</formula>
    </cfRule>
  </conditionalFormatting>
  <conditionalFormatting sqref="O21">
    <cfRule type="cellIs" dxfId="0" priority="17" operator="equal">
      <formula>"confirmé"</formula>
    </cfRule>
  </conditionalFormatting>
  <conditionalFormatting sqref="O22:O23">
    <cfRule type="cellIs" dxfId="0" priority="16" operator="equal">
      <formula>"confirmé"</formula>
    </cfRule>
  </conditionalFormatting>
  <conditionalFormatting sqref="O22:O23">
    <cfRule type="cellIs" dxfId="2" priority="15" operator="equal">
      <formula>"à confirmer"</formula>
    </cfRule>
  </conditionalFormatting>
  <conditionalFormatting sqref="O22:O23">
    <cfRule type="cellIs" dxfId="1" priority="14" operator="equal">
      <formula>"partiel"</formula>
    </cfRule>
  </conditionalFormatting>
  <conditionalFormatting sqref="O22:O23">
    <cfRule type="cellIs" dxfId="1" priority="13" operator="equal">
      <formula>"partiel"</formula>
    </cfRule>
  </conditionalFormatting>
  <conditionalFormatting sqref="O22:O23">
    <cfRule type="cellIs" dxfId="0" priority="12" operator="equal">
      <formula>"confirmé"</formula>
    </cfRule>
  </conditionalFormatting>
  <conditionalFormatting sqref="O25:O26">
    <cfRule type="cellIs" dxfId="0" priority="11" operator="equal">
      <formula>"confirmé"</formula>
    </cfRule>
  </conditionalFormatting>
  <conditionalFormatting sqref="O25:O26">
    <cfRule type="cellIs" dxfId="2" priority="10" operator="equal">
      <formula>"à confirmer"</formula>
    </cfRule>
  </conditionalFormatting>
  <conditionalFormatting sqref="O25:O26">
    <cfRule type="cellIs" dxfId="1" priority="9" operator="equal">
      <formula>"partiel"</formula>
    </cfRule>
  </conditionalFormatting>
  <conditionalFormatting sqref="O25:O26">
    <cfRule type="cellIs" dxfId="1" priority="8" operator="equal">
      <formula>"partiel"</formula>
    </cfRule>
  </conditionalFormatting>
  <conditionalFormatting sqref="O26">
    <cfRule type="cellIs" dxfId="0" priority="7" operator="equal">
      <formula>"confirmé"</formula>
    </cfRule>
  </conditionalFormatting>
  <conditionalFormatting sqref="O25:O26">
    <cfRule type="cellIs" dxfId="0" priority="6" operator="equal">
      <formula>"confirmé"</formula>
    </cfRule>
  </conditionalFormatting>
  <conditionalFormatting sqref="O24">
    <cfRule type="cellIs" dxfId="0" priority="5" operator="equal">
      <formula>"confirmé"</formula>
    </cfRule>
  </conditionalFormatting>
  <conditionalFormatting sqref="O24">
    <cfRule type="cellIs" dxfId="2" priority="4" operator="equal">
      <formula>"à confirmer"</formula>
    </cfRule>
  </conditionalFormatting>
  <conditionalFormatting sqref="O24">
    <cfRule type="cellIs" dxfId="1" priority="3" operator="equal">
      <formula>"partiel"</formula>
    </cfRule>
  </conditionalFormatting>
  <conditionalFormatting sqref="O24">
    <cfRule type="cellIs" dxfId="1" priority="2" operator="equal">
      <formula>"partiel"</formula>
    </cfRule>
  </conditionalFormatting>
  <conditionalFormatting sqref="O24">
    <cfRule type="cellIs" dxfId="0" priority="1" operator="equal">
      <formula>"confirmé"</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opLeftCell="B1">
      <pane ySplit="1" topLeftCell="A11" activePane="bottomLeft" state="frozen"/>
      <selection pane="bottomLeft" activeCell="B25" sqref="B25:DK25" activeCellId="0"/>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86"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D19" s="54"/>
    </row>
    <row r="20">
      <c r="A20" s="52" t="s">
        <v>422</v>
      </c>
      <c r="D20" s="54"/>
      <c r="F20" s="93"/>
      <c r="H20" s="56"/>
      <c r="I20" s="57"/>
      <c r="J20" s="57"/>
    </row>
    <row r="21">
      <c r="A21" s="52" t="s">
        <v>428</v>
      </c>
      <c r="B21" s="52" t="s">
        <v>368</v>
      </c>
      <c r="C21" s="52" t="s">
        <v>429</v>
      </c>
      <c r="D21" s="54"/>
      <c r="E21" s="52" t="s">
        <v>430</v>
      </c>
      <c r="F21" s="86" t="s">
        <v>431</v>
      </c>
      <c r="H21" s="52" t="s">
        <v>432</v>
      </c>
      <c r="I21" s="58" t="s">
        <v>433</v>
      </c>
      <c r="J21" s="58"/>
    </row>
    <row r="22">
      <c r="A22" s="52" t="s">
        <v>434</v>
      </c>
      <c r="D22" s="54"/>
    </row>
    <row r="23">
      <c r="A23" s="52" t="s">
        <v>439</v>
      </c>
      <c r="D23" s="54"/>
      <c r="F23" s="93"/>
    </row>
    <row r="24">
      <c r="A24" s="52" t="s">
        <v>446</v>
      </c>
      <c r="D24" s="54"/>
    </row>
    <row r="25">
      <c r="A25" s="52" t="s">
        <v>452</v>
      </c>
      <c r="D25" s="54"/>
      <c r="H25" s="59"/>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c r="B29" s="52" t="s">
        <v>474</v>
      </c>
      <c r="C29" s="52" t="s">
        <v>475</v>
      </c>
      <c r="D29" s="54"/>
      <c r="E29" s="52" t="s">
        <v>476</v>
      </c>
      <c r="I29" s="52" t="s">
        <v>477</v>
      </c>
    </row>
    <row r="30">
      <c r="A30" s="52" t="s">
        <v>478</v>
      </c>
      <c r="D30" s="54"/>
    </row>
    <row r="31">
      <c r="D31" s="54"/>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hyperlinks>
    <hyperlink ref="F21" display="https://www.geneanet.org/cimetieres/view/12570346/persons/?individu_filter=LAULAGNIER%2BPierre" r:id="rId3"/>
    <hyperlink ref="F6" display="https://drive.proton.me/urls/QK47AVTBE0#sYRXRYgNouVv" r:id="rId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2026-10-29T10:25:53Z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